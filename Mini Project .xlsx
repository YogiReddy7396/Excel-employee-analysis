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13ed9b82fae7ac29/Desktop/Excel/"/>
    </mc:Choice>
  </mc:AlternateContent>
  <xr:revisionPtr revIDLastSave="667" documentId="8_{52A2D04F-B7BD-45BC-9DB6-397E5F8D6A5D}" xr6:coauthVersionLast="47" xr6:coauthVersionMax="47" xr10:uidLastSave="{FD0B15BC-EE4E-4AAB-B395-60BACE45DAA9}"/>
  <bookViews>
    <workbookView xWindow="-110" yWindow="-110" windowWidth="19420" windowHeight="11500" tabRatio="807" firstSheet="5" activeTab="5" xr2:uid="{26D4546B-D2A1-4444-8EAF-A6228F96F0C1}"/>
  </bookViews>
  <sheets>
    <sheet name="Data" sheetId="1" r:id="rId1"/>
    <sheet name="India Staff" sheetId="2" r:id="rId2"/>
    <sheet name="ALL Staff" sheetId="4" r:id="rId3"/>
    <sheet name="Info Finder 2.0" sheetId="5" r:id="rId4"/>
    <sheet name="Male vs Female" sheetId="6" r:id="rId5"/>
    <sheet name="Bonus calculation" sheetId="7" r:id="rId6"/>
    <sheet name="Salary Spread" sheetId="8" r:id="rId7"/>
    <sheet name="Salary vs Rating" sheetId="9" r:id="rId8"/>
    <sheet name="Analysis" sheetId="10" r:id="rId9"/>
    <sheet name="Employee Trend" sheetId="11" r:id="rId10"/>
    <sheet name="Final Report Card" sheetId="12" r:id="rId11"/>
    <sheet name="Processed Data" sheetId="13" r:id="rId12"/>
  </sheets>
  <definedNames>
    <definedName name="_xlnm._FilterDatabase" localSheetId="0" hidden="1">Data!$C$5:$I$105</definedName>
    <definedName name="_xlnm._FilterDatabase" localSheetId="1" hidden="1">'India Staff'!$B$2:$H$114</definedName>
    <definedName name="_xlchart.v1.0" hidden="1">'ALL Staff'!$G$1</definedName>
    <definedName name="_xlchart.v1.1" hidden="1">'ALL Staff'!$G$2:$G$184</definedName>
    <definedName name="_xlchart.v1.2" hidden="1">'ALL Staff'!$G$1</definedName>
    <definedName name="_xlchart.v1.3" hidden="1">'ALL Staff'!$G$2:$G$185</definedName>
    <definedName name="_xlcn.WorksheetConnection_MiniProject1.xlsxstaff1" hidden="1">staff[]</definedName>
    <definedName name="Slicer_Country">#N/A</definedName>
  </definedNames>
  <calcPr calcId="191029"/>
  <pivotCaches>
    <pivotCache cacheId="0" r:id="rId13"/>
    <pivotCache cacheId="1" r:id="rId14"/>
    <pivotCache cacheId="2" r:id="rId15"/>
    <pivotCache cacheId="3" r:id="rId16"/>
    <pivotCache cacheId="4" r:id="rId17"/>
    <pivotCache cacheId="5" r:id="rId18"/>
  </pivotCaches>
  <extLst>
    <ext xmlns:x14="http://schemas.microsoft.com/office/spreadsheetml/2009/9/main" uri="{876F7934-8845-4945-9796-88D515C7AA90}">
      <x14:pivotCaches>
        <pivotCache cacheId="6"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aff" name="staff" connection="WorksheetConnection_Mini Project 1.xlsx!staff"/>
        </x15:modelTables>
        <x15:extLst>
          <ext xmlns:x16="http://schemas.microsoft.com/office/spreadsheetml/2014/11/main" uri="{9835A34E-60A6-4A7C-AAB8-D5F71C897F49}">
            <x16:modelTimeGroupings>
              <x16:modelTimeGrouping tableName="staff" columnName="Date Joined" columnId="Date Joined">
                <x16:calculatedTimeColumn columnName="Date Joined (Year)" columnId="Date Joined (Year)" contentType="years" isSelected="1"/>
                <x16:calculatedTimeColumn columnName="Date Joined (Quarter)" columnId="Date Joined (Quarter)" contentType="quarters" isSelected="1"/>
                <x16:calculatedTimeColumn columnName="Date Joined (Month Index)" columnId="Date Joined (Month Index)" contentType="monthsindex" isSelected="1"/>
                <x16:calculatedTimeColumn columnName="Date Joined (Month)" columnId="Date Joined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2" l="1"/>
  <c r="J3" i="12"/>
  <c r="L3" i="12" s="1"/>
  <c r="G3" i="12"/>
  <c r="C3" i="12"/>
  <c r="E3" i="12" s="1"/>
  <c r="S5" i="11"/>
  <c r="S6" i="11"/>
  <c r="S7" i="11"/>
  <c r="S8" i="11"/>
  <c r="S9" i="11"/>
  <c r="S10" i="11"/>
  <c r="S11" i="11"/>
  <c r="S12" i="11"/>
  <c r="S13" i="11"/>
  <c r="S14" i="11"/>
  <c r="S15" i="11"/>
  <c r="S16" i="11"/>
  <c r="S17" i="11"/>
  <c r="S18" i="11"/>
  <c r="S19" i="11"/>
  <c r="S20" i="11"/>
  <c r="S21" i="11"/>
  <c r="S22" i="11"/>
  <c r="S23" i="11"/>
  <c r="S24" i="11"/>
  <c r="S25" i="11"/>
  <c r="S26" i="11"/>
  <c r="S27" i="11"/>
  <c r="S28" i="11"/>
  <c r="S29" i="11"/>
  <c r="S30" i="11"/>
  <c r="S31" i="11"/>
  <c r="S32" i="11"/>
  <c r="S33" i="11"/>
  <c r="S34" i="11"/>
  <c r="S35" i="11"/>
  <c r="S36" i="11"/>
  <c r="S37" i="11"/>
  <c r="S38" i="11"/>
  <c r="S39" i="11"/>
  <c r="S4" i="11"/>
  <c r="R5" i="11"/>
  <c r="R6" i="11"/>
  <c r="R7" i="1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 i="11"/>
  <c r="Q4" i="11" a="1"/>
  <c r="Q4" i="11" s="1"/>
  <c r="P4" i="11" a="1"/>
  <c r="P4" i="11" s="1"/>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C7" i="5"/>
  <c r="O11" i="4"/>
  <c r="I163" i="4"/>
  <c r="J163" i="4" s="1"/>
  <c r="O8" i="4"/>
  <c r="I134" i="4"/>
  <c r="J134" i="4" s="1"/>
  <c r="I24" i="4"/>
  <c r="J24" i="4" s="1"/>
  <c r="I8" i="4"/>
  <c r="J8" i="4" s="1"/>
  <c r="I32" i="4"/>
  <c r="J32" i="4" s="1"/>
  <c r="I181" i="4"/>
  <c r="J181" i="4" s="1"/>
  <c r="I82" i="4"/>
  <c r="J82" i="4" s="1"/>
  <c r="I108" i="4"/>
  <c r="J108" i="4" s="1"/>
  <c r="I102" i="4"/>
  <c r="J102" i="4" s="1"/>
  <c r="I44" i="4"/>
  <c r="J44" i="4" s="1"/>
  <c r="I120" i="4"/>
  <c r="J120" i="4" s="1"/>
  <c r="I6" i="4"/>
  <c r="J6" i="4" s="1"/>
  <c r="I92" i="4"/>
  <c r="J92" i="4" s="1"/>
  <c r="I10" i="4"/>
  <c r="J10" i="4" s="1"/>
  <c r="I140" i="4"/>
  <c r="J140" i="4" s="1"/>
  <c r="I50" i="4"/>
  <c r="J50" i="4" s="1"/>
  <c r="I171" i="4"/>
  <c r="J171" i="4" s="1"/>
  <c r="I12" i="4"/>
  <c r="J12" i="4" s="1"/>
  <c r="I160" i="4"/>
  <c r="J160" i="4" s="1"/>
  <c r="I22" i="4"/>
  <c r="J22" i="4" s="1"/>
  <c r="I70" i="4"/>
  <c r="J70" i="4" s="1"/>
  <c r="I138" i="4"/>
  <c r="J138" i="4" s="1"/>
  <c r="I110" i="4"/>
  <c r="J110" i="4" s="1"/>
  <c r="I34" i="4"/>
  <c r="J34" i="4" s="1"/>
  <c r="I158" i="4"/>
  <c r="J158" i="4" s="1"/>
  <c r="I183" i="4"/>
  <c r="J183" i="4" s="1"/>
  <c r="I165" i="4"/>
  <c r="J165" i="4" s="1"/>
  <c r="I173" i="4"/>
  <c r="J173" i="4" s="1"/>
  <c r="I30" i="4"/>
  <c r="J30" i="4" s="1"/>
  <c r="I98" i="4"/>
  <c r="J98" i="4" s="1"/>
  <c r="I36" i="4"/>
  <c r="J36" i="4" s="1"/>
  <c r="I114" i="4"/>
  <c r="J114" i="4" s="1"/>
  <c r="I2" i="4"/>
  <c r="J2" i="4" s="1"/>
  <c r="I94" i="4"/>
  <c r="J94" i="4" s="1"/>
  <c r="I52" i="4"/>
  <c r="J52" i="4" s="1"/>
  <c r="I148" i="4"/>
  <c r="J148" i="4" s="1"/>
  <c r="I48" i="4"/>
  <c r="J48" i="4" s="1"/>
  <c r="I126" i="4"/>
  <c r="J126" i="4" s="1"/>
  <c r="I84" i="4"/>
  <c r="J84" i="4" s="1"/>
  <c r="I100" i="4"/>
  <c r="J100" i="4" s="1"/>
  <c r="I122" i="4"/>
  <c r="J122" i="4" s="1"/>
  <c r="I60" i="4"/>
  <c r="J60" i="4" s="1"/>
  <c r="I177" i="4"/>
  <c r="J177" i="4" s="1"/>
  <c r="I66" i="4"/>
  <c r="J66" i="4" s="1"/>
  <c r="I64" i="4"/>
  <c r="J64" i="4" s="1"/>
  <c r="I128" i="4"/>
  <c r="J128" i="4" s="1"/>
  <c r="I28" i="4"/>
  <c r="J28" i="4" s="1"/>
  <c r="I112" i="4"/>
  <c r="J112" i="4" s="1"/>
  <c r="I118" i="4"/>
  <c r="J118" i="4" s="1"/>
  <c r="I76" i="4"/>
  <c r="J76" i="4" s="1"/>
  <c r="I38" i="4"/>
  <c r="J38" i="4" s="1"/>
  <c r="I16" i="4"/>
  <c r="J16" i="4" s="1"/>
  <c r="I154" i="4"/>
  <c r="J154" i="4" s="1"/>
  <c r="I136" i="4"/>
  <c r="J136" i="4" s="1"/>
  <c r="I14" i="4"/>
  <c r="J14" i="4" s="1"/>
  <c r="I88" i="4"/>
  <c r="J88" i="4" s="1"/>
  <c r="I167" i="4"/>
  <c r="J167" i="4" s="1"/>
  <c r="I116" i="4"/>
  <c r="J116" i="4" s="1"/>
  <c r="I39" i="4"/>
  <c r="J39" i="4" s="1"/>
  <c r="I78" i="4"/>
  <c r="J78" i="4" s="1"/>
  <c r="I72" i="4"/>
  <c r="J72" i="4" s="1"/>
  <c r="I80" i="4"/>
  <c r="J80" i="4" s="1"/>
  <c r="I58" i="4"/>
  <c r="J58" i="4" s="1"/>
  <c r="I150" i="4"/>
  <c r="J150" i="4" s="1"/>
  <c r="I179" i="4"/>
  <c r="J179" i="4" s="1"/>
  <c r="I104" i="4"/>
  <c r="J104" i="4" s="1"/>
  <c r="I169" i="4"/>
  <c r="J169" i="4" s="1"/>
  <c r="I144" i="4"/>
  <c r="J144" i="4" s="1"/>
  <c r="I74" i="4"/>
  <c r="J74" i="4" s="1"/>
  <c r="I4" i="4"/>
  <c r="J4" i="4" s="1"/>
  <c r="I62" i="4"/>
  <c r="J62" i="4" s="1"/>
  <c r="I152" i="4"/>
  <c r="J152" i="4" s="1"/>
  <c r="I68" i="4"/>
  <c r="J68" i="4" s="1"/>
  <c r="I96" i="4"/>
  <c r="J96" i="4" s="1"/>
  <c r="I42" i="4"/>
  <c r="J42" i="4" s="1"/>
  <c r="I106" i="4"/>
  <c r="J106" i="4" s="1"/>
  <c r="I54" i="4"/>
  <c r="J54" i="4" s="1"/>
  <c r="I86" i="4"/>
  <c r="J86" i="4" s="1"/>
  <c r="I56" i="4"/>
  <c r="J56" i="4" s="1"/>
  <c r="I26" i="4"/>
  <c r="J26" i="4" s="1"/>
  <c r="I132" i="4"/>
  <c r="J132" i="4" s="1"/>
  <c r="I166" i="4"/>
  <c r="J166" i="4" s="1"/>
  <c r="I87" i="4"/>
  <c r="J87" i="4" s="1"/>
  <c r="I37" i="4"/>
  <c r="J37" i="4" s="1"/>
  <c r="I176" i="4"/>
  <c r="J176" i="4" s="1"/>
  <c r="I40" i="4"/>
  <c r="J40" i="4" s="1"/>
  <c r="I161" i="4"/>
  <c r="J161" i="4" s="1"/>
  <c r="I27" i="4"/>
  <c r="J27" i="4" s="1"/>
  <c r="I63" i="4"/>
  <c r="J63" i="4" s="1"/>
  <c r="I43" i="4"/>
  <c r="J43" i="4" s="1"/>
  <c r="I184" i="4"/>
  <c r="J184" i="4" s="1"/>
  <c r="I159" i="4"/>
  <c r="J159" i="4" s="1"/>
  <c r="I69" i="4"/>
  <c r="J69" i="4" s="1"/>
  <c r="I79" i="4"/>
  <c r="J79" i="4" s="1"/>
  <c r="I153" i="4"/>
  <c r="J153" i="4" s="1"/>
  <c r="I19" i="4"/>
  <c r="J19" i="4" s="1"/>
  <c r="I137" i="4"/>
  <c r="J137" i="4" s="1"/>
  <c r="I9" i="4"/>
  <c r="J9" i="4" s="1"/>
  <c r="I49" i="4"/>
  <c r="J49" i="4" s="1"/>
  <c r="I15" i="4"/>
  <c r="J15" i="4" s="1"/>
  <c r="I99" i="4"/>
  <c r="J99" i="4" s="1"/>
  <c r="I53" i="4"/>
  <c r="J53" i="4" s="1"/>
  <c r="I73" i="4"/>
  <c r="J73" i="4" s="1"/>
  <c r="I51" i="4"/>
  <c r="J51" i="4" s="1"/>
  <c r="I31" i="4"/>
  <c r="J31" i="4" s="1"/>
  <c r="I65" i="4"/>
  <c r="J65" i="4" s="1"/>
  <c r="I93" i="4"/>
  <c r="J93" i="4" s="1"/>
  <c r="I119" i="4"/>
  <c r="J119" i="4" s="1"/>
  <c r="I5" i="4"/>
  <c r="J5" i="4" s="1"/>
  <c r="I101" i="4"/>
  <c r="J101" i="4" s="1"/>
  <c r="I59" i="4"/>
  <c r="J59" i="4" s="1"/>
  <c r="I97" i="4"/>
  <c r="J97" i="4" s="1"/>
  <c r="I178" i="4"/>
  <c r="J178" i="4" s="1"/>
  <c r="I107" i="4"/>
  <c r="J107" i="4" s="1"/>
  <c r="I157" i="4"/>
  <c r="J157" i="4" s="1"/>
  <c r="I33" i="4"/>
  <c r="J33" i="4" s="1"/>
  <c r="I139" i="4"/>
  <c r="J139" i="4" s="1"/>
  <c r="I133" i="4"/>
  <c r="J133" i="4" s="1"/>
  <c r="I143" i="4"/>
  <c r="J143" i="4" s="1"/>
  <c r="I29" i="4"/>
  <c r="J29" i="4" s="1"/>
  <c r="I35" i="4"/>
  <c r="J35" i="4" s="1"/>
  <c r="I105" i="4"/>
  <c r="J105" i="4" s="1"/>
  <c r="I117" i="4"/>
  <c r="J117" i="4" s="1"/>
  <c r="I113" i="4"/>
  <c r="J113" i="4" s="1"/>
  <c r="I129" i="4"/>
  <c r="J129" i="4" s="1"/>
  <c r="I164" i="4"/>
  <c r="J164" i="4" s="1"/>
  <c r="I109" i="4"/>
  <c r="J109" i="4" s="1"/>
  <c r="I77" i="4"/>
  <c r="J77" i="4" s="1"/>
  <c r="I111" i="4"/>
  <c r="J111" i="4" s="1"/>
  <c r="I55" i="4"/>
  <c r="J55" i="4" s="1"/>
  <c r="I182" i="4"/>
  <c r="J182" i="4" s="1"/>
  <c r="I25" i="4"/>
  <c r="J25" i="4" s="1"/>
  <c r="I21" i="4"/>
  <c r="J21" i="4" s="1"/>
  <c r="I174" i="4"/>
  <c r="J174" i="4" s="1"/>
  <c r="I83" i="4"/>
  <c r="J83" i="4" s="1"/>
  <c r="I89" i="4"/>
  <c r="J89" i="4" s="1"/>
  <c r="I155" i="4"/>
  <c r="J155" i="4" s="1"/>
  <c r="I168" i="4"/>
  <c r="J168" i="4" s="1"/>
  <c r="I81" i="4"/>
  <c r="J81" i="4" s="1"/>
  <c r="I180" i="4"/>
  <c r="J180" i="4" s="1"/>
  <c r="I103" i="4"/>
  <c r="J103" i="4" s="1"/>
  <c r="I172" i="4"/>
  <c r="J172" i="4" s="1"/>
  <c r="I125" i="4"/>
  <c r="J125" i="4" s="1"/>
  <c r="I149" i="4"/>
  <c r="J149" i="4" s="1"/>
  <c r="I45" i="4"/>
  <c r="J45" i="4" s="1"/>
  <c r="I123" i="4"/>
  <c r="J123" i="4" s="1"/>
  <c r="I47" i="4"/>
  <c r="J47" i="4" s="1"/>
  <c r="I131" i="4"/>
  <c r="J131" i="4" s="1"/>
  <c r="I71" i="4"/>
  <c r="J71" i="4" s="1"/>
  <c r="I23" i="4"/>
  <c r="J23" i="4" s="1"/>
  <c r="I61" i="4"/>
  <c r="J61" i="4" s="1"/>
  <c r="I145" i="4"/>
  <c r="J145" i="4" s="1"/>
  <c r="I121" i="4"/>
  <c r="J121" i="4" s="1"/>
  <c r="I141" i="4"/>
  <c r="J141" i="4" s="1"/>
  <c r="I170" i="4"/>
  <c r="J170" i="4" s="1"/>
  <c r="I3" i="4"/>
  <c r="J3" i="4" s="1"/>
  <c r="I151" i="4"/>
  <c r="J151" i="4" s="1"/>
  <c r="I11" i="4"/>
  <c r="J11" i="4" s="1"/>
  <c r="I127" i="4"/>
  <c r="J127" i="4" s="1"/>
  <c r="I7" i="4"/>
  <c r="J7" i="4" s="1"/>
  <c r="I147" i="4"/>
  <c r="J147" i="4" s="1"/>
  <c r="I135" i="4"/>
  <c r="J135" i="4" s="1"/>
  <c r="I115" i="4"/>
  <c r="J115" i="4" s="1"/>
  <c r="I17" i="4"/>
  <c r="J17" i="4" s="1"/>
  <c r="I57" i="4"/>
  <c r="J57" i="4" s="1"/>
  <c r="I67" i="4"/>
  <c r="J67" i="4" s="1"/>
  <c r="I13" i="4"/>
  <c r="J13" i="4" s="1"/>
  <c r="I95" i="4"/>
  <c r="J95" i="4" s="1"/>
  <c r="I91" i="4"/>
  <c r="J91" i="4" s="1"/>
  <c r="I75" i="4"/>
  <c r="J75" i="4" s="1"/>
  <c r="I85" i="4"/>
  <c r="J85" i="4" s="1"/>
  <c r="I41" i="4"/>
  <c r="J41" i="4" s="1"/>
  <c r="I18" i="4"/>
  <c r="J18" i="4" s="1"/>
  <c r="I142" i="4"/>
  <c r="J142" i="4" s="1"/>
  <c r="I20" i="4"/>
  <c r="J20" i="4" s="1"/>
  <c r="I175" i="4"/>
  <c r="J175" i="4" s="1"/>
  <c r="I46" i="4"/>
  <c r="J46" i="4" s="1"/>
  <c r="I130" i="4"/>
  <c r="J130" i="4" s="1"/>
  <c r="I124" i="4"/>
  <c r="J124" i="4" s="1"/>
  <c r="I90" i="4"/>
  <c r="J90" i="4" s="1"/>
  <c r="I156" i="4"/>
  <c r="J156" i="4" s="1"/>
  <c r="I146" i="4"/>
  <c r="J146" i="4" s="1"/>
  <c r="I162" i="4"/>
  <c r="J162" i="4" s="1"/>
  <c r="Q5" i="4"/>
  <c r="Q4" i="4"/>
  <c r="O5" i="4"/>
  <c r="O4" i="4"/>
  <c r="O3" i="4"/>
  <c r="F106" i="1"/>
  <c r="H106" i="1"/>
  <c r="I106" i="1"/>
  <c r="B9" i="5" l="1" a="1"/>
  <c r="B9" i="5" s="1"/>
  <c r="O25" i="4" a="1"/>
  <c r="O25" i="4" s="1"/>
  <c r="N23" i="4" a="1"/>
  <c r="N23" i="4" s="1"/>
  <c r="O12" i="4"/>
  <c r="O9" i="4"/>
  <c r="O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DEBD70-B055-4A8F-A742-C8E10AD30481}" keepAlive="1" name="Query - India_staff" description="Connection to the 'India_staff' query in the workbook." type="5" refreshedVersion="0" background="1">
    <dbPr connection="Provider=Microsoft.Mashup.OleDb.1;Data Source=$Workbook$;Location=India_staff;Extended Properties=&quot;&quot;" command="SELECT * FROM [India_staff]"/>
  </connection>
  <connection id="2" xr16:uid="{C69D2C41-8D4F-47E9-A476-2788500ECCA5}" keepAlive="1" name="Query - NZ_staff" description="Connection to the 'NZ_staff' query in the workbook." type="5" refreshedVersion="0" background="1">
    <dbPr connection="Provider=Microsoft.Mashup.OleDb.1;Data Source=$Workbook$;Location=NZ_staff;Extended Properties=&quot;&quot;" command="SELECT * FROM [NZ_staff]"/>
  </connection>
  <connection id="3" xr16:uid="{81A23B9D-BDE9-4280-8D95-9AB0F76E8361}" keepAlive="1" name="Query - staff" description="Connection to the 'staff' query in the workbook." type="5" refreshedVersion="8" background="1" saveData="1">
    <dbPr connection="Provider=Microsoft.Mashup.OleDb.1;Data Source=$Workbook$;Location=staff;Extended Properties=&quot;&quot;" command="SELECT * FROM [staff]"/>
  </connection>
  <connection id="4" xr16:uid="{28FE5EF9-CBBB-4C11-967D-9BF10CFF074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30775046-80D0-459E-9959-3577E69EC36F}" name="WorksheetConnection_Mini Project 1.xlsx!staff" type="102" refreshedVersion="8" minRefreshableVersion="5">
    <extLst>
      <ext xmlns:x15="http://schemas.microsoft.com/office/spreadsheetml/2010/11/main" uri="{DE250136-89BD-433C-8126-D09CA5730AF9}">
        <x15:connection id="staff" autoDelete="1">
          <x15:rangePr sourceName="_xlcn.WorksheetConnection_MiniProject1.xlsxstaff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3">
    <s v="ThisWorkbookDataModel"/>
    <s v="{[staff].[Country].&amp;[India]}"/>
    <s v="{[staff].[Country].&amp;[NZ]}"/>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1" v="0"/>
    </bk>
  </cellMetadata>
  <valueMetadata count="2">
    <bk>
      <rc t="2" v="0"/>
    </bk>
    <bk>
      <rc t="2" v="1"/>
    </bk>
  </valueMetadata>
</metadata>
</file>

<file path=xl/sharedStrings.xml><?xml version="1.0" encoding="utf-8"?>
<sst xmlns="http://schemas.openxmlformats.org/spreadsheetml/2006/main" count="1909" uniqueCount="260">
  <si>
    <t>Name</t>
  </si>
  <si>
    <t>Gender</t>
  </si>
  <si>
    <t>Department</t>
  </si>
  <si>
    <t>Age</t>
  </si>
  <si>
    <t>Date Joined</t>
  </si>
  <si>
    <t>Salary</t>
  </si>
  <si>
    <t>Rating</t>
  </si>
  <si>
    <t>Barr Faughny</t>
  </si>
  <si>
    <t>Female</t>
  </si>
  <si>
    <t>Procurement</t>
  </si>
  <si>
    <t>Exceptional</t>
  </si>
  <si>
    <t>Dennison Crosswaite</t>
  </si>
  <si>
    <t>Website</t>
  </si>
  <si>
    <t>Above average</t>
  </si>
  <si>
    <t>Gunar Cockshoot</t>
  </si>
  <si>
    <t>Male</t>
  </si>
  <si>
    <t>Average</t>
  </si>
  <si>
    <t>Wilone O'Kielt</t>
  </si>
  <si>
    <t>Gigi Bohling</t>
  </si>
  <si>
    <t>Sales</t>
  </si>
  <si>
    <t>Curtice Advani</t>
  </si>
  <si>
    <t>Finance</t>
  </si>
  <si>
    <t>Kaine Padly</t>
  </si>
  <si>
    <t>Ches Bonnell</t>
  </si>
  <si>
    <t>Poor</t>
  </si>
  <si>
    <t>Andria Kimpton</t>
  </si>
  <si>
    <t>Brien Boise</t>
  </si>
  <si>
    <t>Husein Augar</t>
  </si>
  <si>
    <t>Karlen McCaffrey</t>
  </si>
  <si>
    <t>Jan Morforth</t>
  </si>
  <si>
    <t>Dotty Strutley</t>
  </si>
  <si>
    <t>Kelci Walkden</t>
  </si>
  <si>
    <t>Marney O'Breen</t>
  </si>
  <si>
    <t>Rafaelita Blaksland</t>
  </si>
  <si>
    <t>Madelene Upcott</t>
  </si>
  <si>
    <t>Beverie Moffet</t>
  </si>
  <si>
    <t>Oby Sorrel</t>
  </si>
  <si>
    <t>Mallorie Waber</t>
  </si>
  <si>
    <t>Jehu Rudeforth</t>
  </si>
  <si>
    <t>Van Tuxwell</t>
  </si>
  <si>
    <t>Roddy Speechley</t>
  </si>
  <si>
    <t>Camilla Castle</t>
  </si>
  <si>
    <t>Very poor</t>
  </si>
  <si>
    <t>Janene Hairsine</t>
  </si>
  <si>
    <t>Niall Selesnick</t>
  </si>
  <si>
    <t>Ebonee Roxburgh</t>
  </si>
  <si>
    <t>Zach Polon</t>
  </si>
  <si>
    <t>Orton Livick</t>
  </si>
  <si>
    <t>Gray Seamon</t>
  </si>
  <si>
    <t>Benny Karolovsky</t>
  </si>
  <si>
    <t>Dyna Doucette</t>
  </si>
  <si>
    <t>Erin Androsik</t>
  </si>
  <si>
    <t>Madge McCloughen</t>
  </si>
  <si>
    <t>Esmaria Denecamp</t>
  </si>
  <si>
    <t>Hogan Iles</t>
  </si>
  <si>
    <t>Valentia Etteridge</t>
  </si>
  <si>
    <t>HR</t>
  </si>
  <si>
    <t>Archibald Filliskirk</t>
  </si>
  <si>
    <t>Lindy Guillet</t>
  </si>
  <si>
    <t>Dell Molloy</t>
  </si>
  <si>
    <t>Ewart Laphorn</t>
  </si>
  <si>
    <t>Vic Radolf</t>
  </si>
  <si>
    <t>Virginia McConville</t>
  </si>
  <si>
    <t>Kaye Crocroft</t>
  </si>
  <si>
    <t>Mollie Hanway</t>
  </si>
  <si>
    <t>Hoyt D'Alesco</t>
  </si>
  <si>
    <t>Crissie Cordel</t>
  </si>
  <si>
    <t>Myer McCory</t>
  </si>
  <si>
    <t>Enoch Dowrey</t>
  </si>
  <si>
    <t>Kissiah Maydway</t>
  </si>
  <si>
    <t>Ambros Murthwaite</t>
  </si>
  <si>
    <t>Torrance Collier</t>
  </si>
  <si>
    <t>Allene Gobbet</t>
  </si>
  <si>
    <t>Violante Courtonne</t>
  </si>
  <si>
    <t>Merrilee Plenty</t>
  </si>
  <si>
    <t>Tatum Hush</t>
  </si>
  <si>
    <t>Kath Bletsoe</t>
  </si>
  <si>
    <t>Hinda Label</t>
  </si>
  <si>
    <t>Shari McNee</t>
  </si>
  <si>
    <t>My Hanscome</t>
  </si>
  <si>
    <t>Drusy MacCombe</t>
  </si>
  <si>
    <t>Halimeda Kuscha</t>
  </si>
  <si>
    <t>William Reeveley</t>
  </si>
  <si>
    <t>Tracy Renad</t>
  </si>
  <si>
    <t>Kassi Jonson</t>
  </si>
  <si>
    <t>Constantino Espley</t>
  </si>
  <si>
    <t>Gretchen Callow</t>
  </si>
  <si>
    <t>Bev Lashley</t>
  </si>
  <si>
    <t>Sibyl Dunkirk</t>
  </si>
  <si>
    <t>Alta Kaszper</t>
  </si>
  <si>
    <t>Shayne Stegel</t>
  </si>
  <si>
    <t>Hyacinthie Braybrooke</t>
  </si>
  <si>
    <t>Agnes Collicott</t>
  </si>
  <si>
    <t>Teressa Udden</t>
  </si>
  <si>
    <t>Bennie Pepis</t>
  </si>
  <si>
    <t>Elia Cockton</t>
  </si>
  <si>
    <t>Cherlyn Barter</t>
  </si>
  <si>
    <t>Murry Dryburgh</t>
  </si>
  <si>
    <t>Mahalia Larcher</t>
  </si>
  <si>
    <t>Bili Sizey</t>
  </si>
  <si>
    <t>Lilyan Klimpt</t>
  </si>
  <si>
    <t>Caro Chappel</t>
  </si>
  <si>
    <t>Leilah Yesinin</t>
  </si>
  <si>
    <t>Collin Jagson</t>
  </si>
  <si>
    <t>Kellsie Waby</t>
  </si>
  <si>
    <t>Simon Kembery</t>
  </si>
  <si>
    <t>Tawnya Tickel</t>
  </si>
  <si>
    <t>Bernie Gorges</t>
  </si>
  <si>
    <t>Florinda Crace</t>
  </si>
  <si>
    <t>Oran Buxcy</t>
  </si>
  <si>
    <t>Employee Data</t>
  </si>
  <si>
    <t>Nanak Sapna</t>
  </si>
  <si>
    <t>Karuna Pashupathy</t>
  </si>
  <si>
    <t>Amal Nimesh</t>
  </si>
  <si>
    <t>Ramnath Ravuri</t>
  </si>
  <si>
    <t>Yauvani Tarpa</t>
  </si>
  <si>
    <t>Upendra Swati</t>
  </si>
  <si>
    <t>Hridaynath Tendulkar</t>
  </si>
  <si>
    <t>Gangadutt Ragha</t>
  </si>
  <si>
    <t>Rameshwari Chikodi</t>
  </si>
  <si>
    <t>Pratigya Rema</t>
  </si>
  <si>
    <t>Kantimoy Pritish</t>
  </si>
  <si>
    <t>Tarala Vishaal</t>
  </si>
  <si>
    <t>Ardhendu Abhichandra Jayakar</t>
  </si>
  <si>
    <t>Jagajeet Viraj</t>
  </si>
  <si>
    <t>Shattesh Utpat</t>
  </si>
  <si>
    <t>Agrata Rajarama</t>
  </si>
  <si>
    <t>Sawini Chandan</t>
  </si>
  <si>
    <t>Damayanti Thangavadivelu</t>
  </si>
  <si>
    <t>Indu Varada Sumedh</t>
  </si>
  <si>
    <t>Krittika Gaekwad</t>
  </si>
  <si>
    <t>Mardav Ramaswami</t>
  </si>
  <si>
    <t>Lalit Kothari</t>
  </si>
  <si>
    <t>Bhuvan Pals</t>
  </si>
  <si>
    <t>Sarayu Ragunathan</t>
  </si>
  <si>
    <t>Ayog Chakrabarti</t>
  </si>
  <si>
    <t>Shevantilal Muppala</t>
  </si>
  <si>
    <t>Suchira Bhanupriya Tapti</t>
  </si>
  <si>
    <t>Mahindra Sreedharan</t>
  </si>
  <si>
    <t>Chitrasen Laul</t>
  </si>
  <si>
    <t>Akbar Sorabhjee</t>
  </si>
  <si>
    <t>Shulabh Qutub Sundaramoorthy</t>
  </si>
  <si>
    <t>Sahila Chandrasekhar</t>
  </si>
  <si>
    <t>Satyendra Venkatadri</t>
  </si>
  <si>
    <t>Piyali Mahanthapa</t>
  </si>
  <si>
    <t>Rukma Vinita</t>
  </si>
  <si>
    <t>Vanmala Shriharsha</t>
  </si>
  <si>
    <t>Sarojini Naueshwara</t>
  </si>
  <si>
    <t>Kaishori Harathi Kateel</t>
  </si>
  <si>
    <t>Shobhana Samuel</t>
  </si>
  <si>
    <t>Krishnakanta Vellanki</t>
  </si>
  <si>
    <t>Shiuli Sapna</t>
  </si>
  <si>
    <t>Anjushri Chandiramani</t>
  </si>
  <si>
    <t>Fullara Sushanti Mokate</t>
  </si>
  <si>
    <t>Shreela Ramasubraman</t>
  </si>
  <si>
    <t>Gumwant Veera</t>
  </si>
  <si>
    <t>Deepali Charan</t>
  </si>
  <si>
    <t>Geena Raghavanpillai</t>
  </si>
  <si>
    <t>Prerana Nishita</t>
  </si>
  <si>
    <t>Shekhar Eswara</t>
  </si>
  <si>
    <t>Kamalakshi Mukundan</t>
  </si>
  <si>
    <t>Sahas Sanabhi Shrikant</t>
  </si>
  <si>
    <t>Ranajay Kailashnath Richa</t>
  </si>
  <si>
    <t>Sukhdev Nageshwar</t>
  </si>
  <si>
    <t>Rushil Kripa</t>
  </si>
  <si>
    <t>Daruka Ghazali</t>
  </si>
  <si>
    <t>Godavari Veena</t>
  </si>
  <si>
    <t>Anumati Shyamari Meherhomji</t>
  </si>
  <si>
    <t>Abhaya Priyavardhan</t>
  </si>
  <si>
    <t>Purnendu Vijayarangan</t>
  </si>
  <si>
    <t>Sameer Shashank Sapra</t>
  </si>
  <si>
    <t>Asija Pothireddy</t>
  </si>
  <si>
    <t>Rupak Mehra</t>
  </si>
  <si>
    <t>Makshi Vinutha</t>
  </si>
  <si>
    <t>Pragya Nilufar</t>
  </si>
  <si>
    <t>Dhruv Manjunath</t>
  </si>
  <si>
    <t>Yagna Sujeev</t>
  </si>
  <si>
    <t>Mithil Nadkarni</t>
  </si>
  <si>
    <t>Bandhula Sathyanna</t>
  </si>
  <si>
    <t>Shubhra Potla</t>
  </si>
  <si>
    <t>Narois Motiwala</t>
  </si>
  <si>
    <t>Madhumati Gazala Soumitra</t>
  </si>
  <si>
    <t>Sanchali Shirish</t>
  </si>
  <si>
    <t>Chandana Sannidhi Surnilla</t>
  </si>
  <si>
    <t>Devasree Fullara Saurin</t>
  </si>
  <si>
    <t>Kunja Prashanta Vibha</t>
  </si>
  <si>
    <t>Kevalkumar Solanki</t>
  </si>
  <si>
    <t>Kulbhushan Moorthy</t>
  </si>
  <si>
    <t>Hemavati Muthiah</t>
  </si>
  <si>
    <t>Sartaj Probal</t>
  </si>
  <si>
    <t>Jaishree Atasi Yavatkar</t>
  </si>
  <si>
    <t>Ilesh Dasgupta</t>
  </si>
  <si>
    <t>Waheeda Vasuman</t>
  </si>
  <si>
    <t>Vinanti Choudhari</t>
  </si>
  <si>
    <t>Manjusri Ruchi</t>
  </si>
  <si>
    <t>Deepit Ranjana</t>
  </si>
  <si>
    <t>Amlankusum Rajabhushan</t>
  </si>
  <si>
    <t>Udyan Lanka</t>
  </si>
  <si>
    <t>Baruna Ogale</t>
  </si>
  <si>
    <t>Heer Pennathur</t>
  </si>
  <si>
    <t>Vasu Nandin</t>
  </si>
  <si>
    <t>Madhavdas Buhpathi</t>
  </si>
  <si>
    <t>Mirium Seemantini Shivakumar</t>
  </si>
  <si>
    <t xml:space="preserve"> </t>
  </si>
  <si>
    <t>Total</t>
  </si>
  <si>
    <t>Country</t>
  </si>
  <si>
    <t>India</t>
  </si>
  <si>
    <t>Other</t>
  </si>
  <si>
    <t>NZ</t>
  </si>
  <si>
    <t>Count of employees</t>
  </si>
  <si>
    <t>Average salary</t>
  </si>
  <si>
    <t>Average Age</t>
  </si>
  <si>
    <t>Average Tenure</t>
  </si>
  <si>
    <t xml:space="preserve">Median </t>
  </si>
  <si>
    <t>Tenure</t>
  </si>
  <si>
    <t>Female Count</t>
  </si>
  <si>
    <t xml:space="preserve">             Female Ratio %</t>
  </si>
  <si>
    <t xml:space="preserve">Female Ratio </t>
  </si>
  <si>
    <t>Ration of &gt;90,000$</t>
  </si>
  <si>
    <t>Ration =</t>
  </si>
  <si>
    <t>XLOOKUP</t>
  </si>
  <si>
    <t>VLOOKUP</t>
  </si>
  <si>
    <t>Information Finder</t>
  </si>
  <si>
    <t>Department Name</t>
  </si>
  <si>
    <t>Number of People</t>
  </si>
  <si>
    <t>Male Vs Female</t>
  </si>
  <si>
    <t>Column Labels</t>
  </si>
  <si>
    <t>Grand Total</t>
  </si>
  <si>
    <t>Count of Name</t>
  </si>
  <si>
    <t>Average of Age</t>
  </si>
  <si>
    <t>Values</t>
  </si>
  <si>
    <t>Average of Salary</t>
  </si>
  <si>
    <t>Average of Tenure</t>
  </si>
  <si>
    <t>Bonus</t>
  </si>
  <si>
    <t>Bonus Calculation</t>
  </si>
  <si>
    <t>Row Labels</t>
  </si>
  <si>
    <t>Sum of Bonus</t>
  </si>
  <si>
    <t>Rating as Number</t>
  </si>
  <si>
    <t>2020</t>
  </si>
  <si>
    <t>May</t>
  </si>
  <si>
    <t>Jun</t>
  </si>
  <si>
    <t>Jul</t>
  </si>
  <si>
    <t>Aug</t>
  </si>
  <si>
    <t>Sep</t>
  </si>
  <si>
    <t>Oct</t>
  </si>
  <si>
    <t>Nov</t>
  </si>
  <si>
    <t>Dec</t>
  </si>
  <si>
    <t>2021</t>
  </si>
  <si>
    <t>Jan</t>
  </si>
  <si>
    <t>Feb</t>
  </si>
  <si>
    <t>Mar</t>
  </si>
  <si>
    <t>Apr</t>
  </si>
  <si>
    <t>2022</t>
  </si>
  <si>
    <t>2023</t>
  </si>
  <si>
    <t>Month</t>
  </si>
  <si>
    <t>Head Count</t>
  </si>
  <si>
    <t>Running Total</t>
  </si>
  <si>
    <t xml:space="preserve">  </t>
  </si>
  <si>
    <t>Head Count by Department</t>
  </si>
  <si>
    <t>New Zealand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</si>
</sst>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_ ;[Red]\-[$$-409]#,##0.00\ "/>
    <numFmt numFmtId="165" formatCode="[$$-409]#,##0.00"/>
    <numFmt numFmtId="166" formatCode="0.0"/>
    <numFmt numFmtId="167" formatCode="[$$-409]#,##0"/>
  </numFmts>
  <fonts count="13" x14ac:knownFonts="1">
    <font>
      <sz val="11"/>
      <color theme="1"/>
      <name val="Calibri"/>
      <family val="2"/>
      <scheme val="minor"/>
    </font>
    <font>
      <sz val="28"/>
      <color theme="1"/>
      <name val="Segoe UI Light"/>
      <family val="2"/>
    </font>
    <font>
      <b/>
      <sz val="11"/>
      <color theme="1"/>
      <name val="Calibri"/>
      <family val="2"/>
      <scheme val="minor"/>
    </font>
    <font>
      <b/>
      <sz val="18"/>
      <color theme="1"/>
      <name val="Calibri"/>
      <family val="2"/>
      <scheme val="minor"/>
    </font>
    <font>
      <b/>
      <sz val="14"/>
      <color theme="1"/>
      <name val="Calibri"/>
      <family val="2"/>
      <scheme val="minor"/>
    </font>
    <font>
      <sz val="11"/>
      <color theme="1"/>
      <name val="Times New Roman"/>
      <family val="1"/>
    </font>
    <font>
      <b/>
      <sz val="48"/>
      <color theme="0"/>
      <name val="Times New Roman"/>
      <family val="1"/>
    </font>
    <font>
      <sz val="48"/>
      <color theme="0"/>
      <name val="Times New Roman"/>
      <family val="1"/>
    </font>
    <font>
      <b/>
      <sz val="20"/>
      <color theme="0"/>
      <name val="Times New Roman"/>
      <family val="1"/>
    </font>
    <font>
      <b/>
      <sz val="48"/>
      <name val="Times New Roman"/>
      <family val="1"/>
    </font>
    <font>
      <sz val="48"/>
      <name val="Times New Roman"/>
      <family val="1"/>
    </font>
    <font>
      <b/>
      <sz val="20"/>
      <name val="Times New Roman"/>
      <family val="1"/>
    </font>
    <font>
      <b/>
      <sz val="24"/>
      <color theme="1"/>
      <name val="Times New Roman"/>
      <family val="1"/>
    </font>
  </fonts>
  <fills count="9">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rgb="FFFFFF00"/>
        <bgColor indexed="64"/>
      </patternFill>
    </fill>
    <fill>
      <patternFill patternType="solid">
        <fgColor theme="5"/>
        <bgColor indexed="64"/>
      </patternFill>
    </fill>
    <fill>
      <patternFill patternType="solid">
        <fgColor theme="8"/>
        <bgColor indexed="64"/>
      </patternFill>
    </fill>
    <fill>
      <patternFill patternType="solid">
        <fgColor theme="0" tint="-0.249977111117893"/>
        <bgColor indexed="64"/>
      </patternFill>
    </fill>
    <fill>
      <patternFill patternType="solid">
        <fgColor theme="0"/>
        <bgColor indexed="64"/>
      </patternFill>
    </fill>
  </fills>
  <borders count="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auto="1"/>
      </top>
      <bottom/>
      <diagonal/>
    </border>
    <border>
      <left/>
      <right/>
      <top/>
      <bottom style="thin">
        <color auto="1"/>
      </bottom>
      <diagonal/>
    </border>
  </borders>
  <cellStyleXfs count="1">
    <xf numFmtId="0" fontId="0" fillId="0" borderId="0"/>
  </cellStyleXfs>
  <cellXfs count="46">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15" fontId="0" fillId="0" borderId="0" xfId="0" applyNumberFormat="1"/>
    <xf numFmtId="164" fontId="0" fillId="0" borderId="0" xfId="0" applyNumberFormat="1"/>
    <xf numFmtId="14" fontId="0" fillId="0" borderId="0" xfId="0" applyNumberFormat="1"/>
    <xf numFmtId="2" fontId="0" fillId="0" borderId="0" xfId="0" applyNumberFormat="1"/>
    <xf numFmtId="9" fontId="0" fillId="0" borderId="0" xfId="0" applyNumberFormat="1"/>
    <xf numFmtId="10" fontId="0" fillId="0" borderId="0" xfId="0" applyNumberFormat="1"/>
    <xf numFmtId="0" fontId="3" fillId="4" borderId="0" xfId="0" applyFont="1" applyFill="1"/>
    <xf numFmtId="0" fontId="0" fillId="5" borderId="0" xfId="0" applyFill="1"/>
    <xf numFmtId="0" fontId="0" fillId="0" borderId="0" xfId="0" applyAlignment="1">
      <alignment horizontal="left"/>
    </xf>
    <xf numFmtId="14" fontId="0" fillId="0" borderId="0" xfId="0" applyNumberFormat="1" applyAlignment="1">
      <alignment horizontal="left"/>
    </xf>
    <xf numFmtId="0" fontId="2" fillId="0" borderId="0" xfId="0" applyFont="1"/>
    <xf numFmtId="165" fontId="0" fillId="0" borderId="0" xfId="0" applyNumberFormat="1" applyAlignment="1">
      <alignment horizontal="left"/>
    </xf>
    <xf numFmtId="0" fontId="4" fillId="0" borderId="0" xfId="0" applyFont="1" applyAlignment="1">
      <alignment horizontal="center"/>
    </xf>
    <xf numFmtId="0" fontId="4" fillId="4" borderId="0" xfId="0" applyFont="1" applyFill="1"/>
    <xf numFmtId="0" fontId="0" fillId="0" borderId="0" xfId="0" pivotButton="1"/>
    <xf numFmtId="166" fontId="0" fillId="0" borderId="0" xfId="0" applyNumberFormat="1"/>
    <xf numFmtId="167" fontId="0" fillId="0" borderId="0" xfId="0" applyNumberFormat="1"/>
    <xf numFmtId="0" fontId="4" fillId="0" borderId="0" xfId="0" applyFont="1"/>
    <xf numFmtId="0" fontId="0" fillId="0" borderId="1" xfId="0" applyBorder="1" applyAlignment="1">
      <alignment horizontal="left"/>
    </xf>
    <xf numFmtId="0" fontId="0" fillId="0" borderId="2" xfId="0" applyBorder="1"/>
    <xf numFmtId="0" fontId="0" fillId="0" borderId="3" xfId="0" applyBorder="1" applyAlignment="1">
      <alignment horizontal="left"/>
    </xf>
    <xf numFmtId="0" fontId="0" fillId="0" borderId="4" xfId="0" applyBorder="1"/>
    <xf numFmtId="0" fontId="0" fillId="0" borderId="5" xfId="0" applyBorder="1" applyAlignment="1">
      <alignment horizontal="left"/>
    </xf>
    <xf numFmtId="0" fontId="0" fillId="0" borderId="6" xfId="0" applyBorder="1"/>
    <xf numFmtId="0" fontId="0" fillId="0" borderId="0" xfId="0" applyAlignment="1">
      <alignment horizontal="center"/>
    </xf>
    <xf numFmtId="1" fontId="0" fillId="0" borderId="0" xfId="0" applyNumberFormat="1" applyAlignment="1">
      <alignment horizontal="center"/>
    </xf>
    <xf numFmtId="0" fontId="0" fillId="0" borderId="0" xfId="0" applyAlignment="1">
      <alignment horizontal="left" indent="1"/>
    </xf>
    <xf numFmtId="17" fontId="0" fillId="0" borderId="0" xfId="0" applyNumberFormat="1"/>
    <xf numFmtId="0" fontId="0" fillId="0" borderId="1" xfId="0" applyBorder="1"/>
    <xf numFmtId="0" fontId="0" fillId="0" borderId="7" xfId="0" applyBorder="1"/>
    <xf numFmtId="0" fontId="0" fillId="0" borderId="3" xfId="0" applyBorder="1"/>
    <xf numFmtId="0" fontId="0" fillId="0" borderId="5" xfId="0" applyBorder="1"/>
    <xf numFmtId="0" fontId="0" fillId="0" borderId="8" xfId="0" applyBorder="1"/>
    <xf numFmtId="0" fontId="6" fillId="6" borderId="0" xfId="0" applyFont="1" applyFill="1" applyAlignment="1">
      <alignment horizontal="center" vertical="center"/>
    </xf>
    <xf numFmtId="9" fontId="7" fillId="6" borderId="0" xfId="0" applyNumberFormat="1" applyFont="1" applyFill="1" applyAlignment="1">
      <alignment horizontal="center" vertical="center"/>
    </xf>
    <xf numFmtId="167" fontId="8" fillId="6" borderId="0" xfId="0" applyNumberFormat="1" applyFont="1" applyFill="1" applyAlignment="1">
      <alignment horizontal="center" vertical="center"/>
    </xf>
    <xf numFmtId="0" fontId="5" fillId="0" borderId="0" xfId="0" applyFont="1" applyAlignment="1">
      <alignment horizontal="center" vertical="center"/>
    </xf>
    <xf numFmtId="0" fontId="9" fillId="5" borderId="0" xfId="0" applyFont="1" applyFill="1" applyAlignment="1">
      <alignment horizontal="center" vertical="center"/>
    </xf>
    <xf numFmtId="9" fontId="10" fillId="5" borderId="0" xfId="0" applyNumberFormat="1" applyFont="1" applyFill="1" applyAlignment="1">
      <alignment horizontal="center" vertical="center"/>
    </xf>
    <xf numFmtId="167" fontId="11" fillId="5" borderId="0" xfId="0" applyNumberFormat="1" applyFont="1" applyFill="1" applyAlignment="1">
      <alignment horizontal="center" vertical="center"/>
    </xf>
    <xf numFmtId="0" fontId="12" fillId="7" borderId="0" xfId="0" applyFont="1" applyFill="1" applyAlignment="1">
      <alignment horizontal="center" vertical="center"/>
    </xf>
    <xf numFmtId="0" fontId="12" fillId="8" borderId="0" xfId="0" applyFont="1" applyFill="1" applyAlignment="1">
      <alignment horizontal="center" vertical="center"/>
    </xf>
  </cellXfs>
  <cellStyles count="1">
    <cellStyle name="Normal" xfId="0" builtinId="0"/>
  </cellStyles>
  <dxfs count="15">
    <dxf>
      <font>
        <color rgb="FF9C0006"/>
      </font>
      <fill>
        <patternFill>
          <bgColor rgb="FFFFC7CE"/>
        </patternFill>
      </fill>
    </dxf>
    <dxf>
      <numFmt numFmtId="167" formatCode="[$$-409]#,##0"/>
    </dxf>
    <dxf>
      <numFmt numFmtId="167" formatCode="[$$-409]#,##0"/>
    </dxf>
    <dxf>
      <numFmt numFmtId="167" formatCode="[$$-409]#,##0"/>
    </dxf>
    <dxf>
      <numFmt numFmtId="1" formatCode="0"/>
      <alignment horizontal="center" vertical="bottom" textRotation="0" wrapText="0" indent="0" justifyLastLine="0" shrinkToFit="0" readingOrder="0"/>
    </dxf>
    <dxf>
      <numFmt numFmtId="2" formatCode="0.00"/>
    </dxf>
    <dxf>
      <numFmt numFmtId="0" formatCode="General"/>
    </dxf>
    <dxf>
      <numFmt numFmtId="167" formatCode="[$$-409]#,##0"/>
    </dxf>
    <dxf>
      <numFmt numFmtId="0" formatCode="General"/>
    </dxf>
    <dxf>
      <numFmt numFmtId="19" formatCode="dd/mm/yyyy"/>
    </dxf>
    <dxf>
      <numFmt numFmtId="0" formatCode="General"/>
    </dxf>
    <dxf>
      <numFmt numFmtId="0" formatCode="General"/>
    </dxf>
    <dxf>
      <numFmt numFmtId="20" formatCode="dd/mmm/yy"/>
    </dxf>
    <dxf>
      <numFmt numFmtId="164" formatCode="[$$-409]#,##0.00_ ;[Red]\-[$$-409]#,##0.00\ "/>
    </dxf>
    <dxf>
      <font>
        <strike val="0"/>
        <outline val="0"/>
        <shadow val="0"/>
        <u val="none"/>
        <vertAlign val="baseline"/>
        <sz val="11"/>
        <color theme="1"/>
        <name val="Calibri"/>
        <family val="2"/>
        <scheme val="minor"/>
      </font>
      <numFmt numFmtId="164" formatCode="[$$-409]#,##0.00_ ;[Red]\-[$$-409]#,##0.00\ "/>
    </dxf>
  </dxfs>
  <tableStyles count="0" defaultTableStyle="TableStyleMedium2" defaultPivotStyle="PivotStyleLight16"/>
  <colors>
    <mruColors>
      <color rgb="FFE709D2"/>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vs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'ALL Staff'!$K$1</c:f>
              <c:strCache>
                <c:ptCount val="1"/>
                <c:pt idx="0">
                  <c:v>Rating as Number</c:v>
                </c:pt>
              </c:strCache>
            </c:strRef>
          </c:tx>
          <c:spPr>
            <a:ln w="19050" cap="rnd">
              <a:noFill/>
              <a:round/>
            </a:ln>
            <a:effectLst/>
          </c:spPr>
          <c:marker>
            <c:symbol val="circle"/>
            <c:size val="5"/>
            <c:spPr>
              <a:solidFill>
                <a:schemeClr val="accent1"/>
              </a:solidFill>
              <a:ln w="9525">
                <a:solidFill>
                  <a:schemeClr val="accent1"/>
                </a:solidFill>
              </a:ln>
              <a:effectLst/>
            </c:spPr>
          </c:marker>
          <c:xVal>
            <c:numRef>
              <c:f>'ALL Staff'!$G$2:$G$184</c:f>
              <c:numCache>
                <c:formatCode>[$$-409]#,##0</c:formatCode>
                <c:ptCount val="183"/>
                <c:pt idx="0">
                  <c:v>33920</c:v>
                </c:pt>
                <c:pt idx="1">
                  <c:v>33920</c:v>
                </c:pt>
                <c:pt idx="2">
                  <c:v>34980</c:v>
                </c:pt>
                <c:pt idx="3">
                  <c:v>34980</c:v>
                </c:pt>
                <c:pt idx="4">
                  <c:v>36040</c:v>
                </c:pt>
                <c:pt idx="5">
                  <c:v>36040</c:v>
                </c:pt>
                <c:pt idx="6">
                  <c:v>37920</c:v>
                </c:pt>
                <c:pt idx="7">
                  <c:v>37920</c:v>
                </c:pt>
                <c:pt idx="8">
                  <c:v>40400</c:v>
                </c:pt>
                <c:pt idx="9">
                  <c:v>40400</c:v>
                </c:pt>
                <c:pt idx="10">
                  <c:v>41570</c:v>
                </c:pt>
                <c:pt idx="11">
                  <c:v>41570</c:v>
                </c:pt>
                <c:pt idx="12">
                  <c:v>41980</c:v>
                </c:pt>
                <c:pt idx="13">
                  <c:v>41980</c:v>
                </c:pt>
                <c:pt idx="14">
                  <c:v>43510</c:v>
                </c:pt>
                <c:pt idx="15">
                  <c:v>43510</c:v>
                </c:pt>
                <c:pt idx="16">
                  <c:v>43840</c:v>
                </c:pt>
                <c:pt idx="17">
                  <c:v>43840</c:v>
                </c:pt>
                <c:pt idx="18">
                  <c:v>45510</c:v>
                </c:pt>
                <c:pt idx="19">
                  <c:v>45510</c:v>
                </c:pt>
                <c:pt idx="20">
                  <c:v>47360</c:v>
                </c:pt>
                <c:pt idx="21">
                  <c:v>47360</c:v>
                </c:pt>
                <c:pt idx="22">
                  <c:v>48170</c:v>
                </c:pt>
                <c:pt idx="23">
                  <c:v>48170</c:v>
                </c:pt>
                <c:pt idx="24">
                  <c:v>48530</c:v>
                </c:pt>
                <c:pt idx="25">
                  <c:v>48530</c:v>
                </c:pt>
                <c:pt idx="26">
                  <c:v>48950</c:v>
                </c:pt>
                <c:pt idx="27">
                  <c:v>48950</c:v>
                </c:pt>
                <c:pt idx="28">
                  <c:v>48980</c:v>
                </c:pt>
                <c:pt idx="29">
                  <c:v>48980</c:v>
                </c:pt>
                <c:pt idx="30">
                  <c:v>49630</c:v>
                </c:pt>
                <c:pt idx="31">
                  <c:v>49630</c:v>
                </c:pt>
                <c:pt idx="32">
                  <c:v>52610</c:v>
                </c:pt>
                <c:pt idx="33">
                  <c:v>52610</c:v>
                </c:pt>
                <c:pt idx="34">
                  <c:v>53240</c:v>
                </c:pt>
                <c:pt idx="35">
                  <c:v>53240</c:v>
                </c:pt>
                <c:pt idx="36">
                  <c:v>53540</c:v>
                </c:pt>
                <c:pt idx="37">
                  <c:v>53540</c:v>
                </c:pt>
                <c:pt idx="38">
                  <c:v>53540</c:v>
                </c:pt>
                <c:pt idx="39">
                  <c:v>53540</c:v>
                </c:pt>
                <c:pt idx="40">
                  <c:v>53870</c:v>
                </c:pt>
                <c:pt idx="41">
                  <c:v>53870</c:v>
                </c:pt>
                <c:pt idx="42">
                  <c:v>54970</c:v>
                </c:pt>
                <c:pt idx="43">
                  <c:v>54970</c:v>
                </c:pt>
                <c:pt idx="44">
                  <c:v>56870</c:v>
                </c:pt>
                <c:pt idx="45">
                  <c:v>56870</c:v>
                </c:pt>
                <c:pt idx="46">
                  <c:v>57090</c:v>
                </c:pt>
                <c:pt idx="47">
                  <c:v>57090</c:v>
                </c:pt>
                <c:pt idx="48">
                  <c:v>58100</c:v>
                </c:pt>
                <c:pt idx="49">
                  <c:v>58100</c:v>
                </c:pt>
                <c:pt idx="50">
                  <c:v>58940</c:v>
                </c:pt>
                <c:pt idx="51">
                  <c:v>58940</c:v>
                </c:pt>
                <c:pt idx="52">
                  <c:v>58960</c:v>
                </c:pt>
                <c:pt idx="53">
                  <c:v>58960</c:v>
                </c:pt>
                <c:pt idx="54">
                  <c:v>59430</c:v>
                </c:pt>
                <c:pt idx="55">
                  <c:v>59430</c:v>
                </c:pt>
                <c:pt idx="56">
                  <c:v>60130</c:v>
                </c:pt>
                <c:pt idx="57">
                  <c:v>60130</c:v>
                </c:pt>
                <c:pt idx="58">
                  <c:v>60570</c:v>
                </c:pt>
                <c:pt idx="59">
                  <c:v>60570</c:v>
                </c:pt>
                <c:pt idx="60">
                  <c:v>62780</c:v>
                </c:pt>
                <c:pt idx="61">
                  <c:v>62780</c:v>
                </c:pt>
                <c:pt idx="62">
                  <c:v>64000</c:v>
                </c:pt>
                <c:pt idx="63">
                  <c:v>64000</c:v>
                </c:pt>
                <c:pt idx="64">
                  <c:v>65360</c:v>
                </c:pt>
                <c:pt idx="65">
                  <c:v>65360</c:v>
                </c:pt>
                <c:pt idx="66">
                  <c:v>65700</c:v>
                </c:pt>
                <c:pt idx="67">
                  <c:v>65700</c:v>
                </c:pt>
                <c:pt idx="68">
                  <c:v>65920</c:v>
                </c:pt>
                <c:pt idx="69">
                  <c:v>65920</c:v>
                </c:pt>
                <c:pt idx="70">
                  <c:v>67910</c:v>
                </c:pt>
                <c:pt idx="71">
                  <c:v>67910</c:v>
                </c:pt>
                <c:pt idx="72">
                  <c:v>67950</c:v>
                </c:pt>
                <c:pt idx="73">
                  <c:v>67950</c:v>
                </c:pt>
                <c:pt idx="74">
                  <c:v>68900</c:v>
                </c:pt>
                <c:pt idx="75">
                  <c:v>68900</c:v>
                </c:pt>
                <c:pt idx="76">
                  <c:v>69070</c:v>
                </c:pt>
                <c:pt idx="77">
                  <c:v>69070</c:v>
                </c:pt>
                <c:pt idx="78">
                  <c:v>69120</c:v>
                </c:pt>
                <c:pt idx="79">
                  <c:v>69120</c:v>
                </c:pt>
                <c:pt idx="80">
                  <c:v>69710</c:v>
                </c:pt>
                <c:pt idx="81">
                  <c:v>69710</c:v>
                </c:pt>
                <c:pt idx="82">
                  <c:v>70270</c:v>
                </c:pt>
                <c:pt idx="83">
                  <c:v>70270</c:v>
                </c:pt>
                <c:pt idx="84">
                  <c:v>70610</c:v>
                </c:pt>
                <c:pt idx="85">
                  <c:v>70610</c:v>
                </c:pt>
                <c:pt idx="86">
                  <c:v>71380</c:v>
                </c:pt>
                <c:pt idx="87">
                  <c:v>71380</c:v>
                </c:pt>
                <c:pt idx="88">
                  <c:v>74550</c:v>
                </c:pt>
                <c:pt idx="89">
                  <c:v>74550</c:v>
                </c:pt>
                <c:pt idx="90">
                  <c:v>75000</c:v>
                </c:pt>
                <c:pt idx="91">
                  <c:v>75000</c:v>
                </c:pt>
                <c:pt idx="92">
                  <c:v>75280</c:v>
                </c:pt>
                <c:pt idx="93">
                  <c:v>75280</c:v>
                </c:pt>
                <c:pt idx="94">
                  <c:v>75480</c:v>
                </c:pt>
                <c:pt idx="95">
                  <c:v>75480</c:v>
                </c:pt>
                <c:pt idx="96">
                  <c:v>75880</c:v>
                </c:pt>
                <c:pt idx="97">
                  <c:v>75880</c:v>
                </c:pt>
                <c:pt idx="98">
                  <c:v>75970</c:v>
                </c:pt>
                <c:pt idx="99">
                  <c:v>75970</c:v>
                </c:pt>
                <c:pt idx="100">
                  <c:v>76900</c:v>
                </c:pt>
                <c:pt idx="101">
                  <c:v>76900</c:v>
                </c:pt>
                <c:pt idx="102">
                  <c:v>78390</c:v>
                </c:pt>
                <c:pt idx="103">
                  <c:v>78390</c:v>
                </c:pt>
                <c:pt idx="104">
                  <c:v>78540</c:v>
                </c:pt>
                <c:pt idx="105">
                  <c:v>78540</c:v>
                </c:pt>
                <c:pt idx="106">
                  <c:v>79570</c:v>
                </c:pt>
                <c:pt idx="107">
                  <c:v>79570</c:v>
                </c:pt>
                <c:pt idx="108">
                  <c:v>80700</c:v>
                </c:pt>
                <c:pt idx="109">
                  <c:v>80700</c:v>
                </c:pt>
                <c:pt idx="110">
                  <c:v>83750</c:v>
                </c:pt>
                <c:pt idx="111">
                  <c:v>83750</c:v>
                </c:pt>
                <c:pt idx="112">
                  <c:v>85000</c:v>
                </c:pt>
                <c:pt idx="113">
                  <c:v>85000</c:v>
                </c:pt>
                <c:pt idx="114">
                  <c:v>86570</c:v>
                </c:pt>
                <c:pt idx="115">
                  <c:v>86570</c:v>
                </c:pt>
                <c:pt idx="116">
                  <c:v>87620</c:v>
                </c:pt>
                <c:pt idx="117">
                  <c:v>87620</c:v>
                </c:pt>
                <c:pt idx="118">
                  <c:v>88050</c:v>
                </c:pt>
                <c:pt idx="119">
                  <c:v>88050</c:v>
                </c:pt>
                <c:pt idx="120">
                  <c:v>90700</c:v>
                </c:pt>
                <c:pt idx="121">
                  <c:v>90700</c:v>
                </c:pt>
                <c:pt idx="122">
                  <c:v>91310</c:v>
                </c:pt>
                <c:pt idx="123">
                  <c:v>91310</c:v>
                </c:pt>
                <c:pt idx="124">
                  <c:v>91650</c:v>
                </c:pt>
                <c:pt idx="125">
                  <c:v>91650</c:v>
                </c:pt>
                <c:pt idx="126">
                  <c:v>92450</c:v>
                </c:pt>
                <c:pt idx="127">
                  <c:v>92450</c:v>
                </c:pt>
                <c:pt idx="128">
                  <c:v>92700</c:v>
                </c:pt>
                <c:pt idx="129">
                  <c:v>92700</c:v>
                </c:pt>
                <c:pt idx="130">
                  <c:v>96140</c:v>
                </c:pt>
                <c:pt idx="131">
                  <c:v>96140</c:v>
                </c:pt>
                <c:pt idx="132">
                  <c:v>96800</c:v>
                </c:pt>
                <c:pt idx="133">
                  <c:v>96800</c:v>
                </c:pt>
                <c:pt idx="134">
                  <c:v>99750</c:v>
                </c:pt>
                <c:pt idx="135">
                  <c:v>99750</c:v>
                </c:pt>
                <c:pt idx="136">
                  <c:v>99970</c:v>
                </c:pt>
                <c:pt idx="137">
                  <c:v>99970</c:v>
                </c:pt>
                <c:pt idx="138">
                  <c:v>100420</c:v>
                </c:pt>
                <c:pt idx="139">
                  <c:v>100420</c:v>
                </c:pt>
                <c:pt idx="140">
                  <c:v>103550</c:v>
                </c:pt>
                <c:pt idx="141">
                  <c:v>103550</c:v>
                </c:pt>
                <c:pt idx="142">
                  <c:v>104120</c:v>
                </c:pt>
                <c:pt idx="143">
                  <c:v>104120</c:v>
                </c:pt>
                <c:pt idx="144">
                  <c:v>104410</c:v>
                </c:pt>
                <c:pt idx="145">
                  <c:v>104410</c:v>
                </c:pt>
                <c:pt idx="146">
                  <c:v>104770</c:v>
                </c:pt>
                <c:pt idx="147">
                  <c:v>104770</c:v>
                </c:pt>
                <c:pt idx="148">
                  <c:v>106460</c:v>
                </c:pt>
                <c:pt idx="149">
                  <c:v>106460</c:v>
                </c:pt>
                <c:pt idx="150">
                  <c:v>107700</c:v>
                </c:pt>
                <c:pt idx="151">
                  <c:v>107700</c:v>
                </c:pt>
                <c:pt idx="152">
                  <c:v>109160</c:v>
                </c:pt>
                <c:pt idx="153">
                  <c:v>109160</c:v>
                </c:pt>
                <c:pt idx="154">
                  <c:v>109190</c:v>
                </c:pt>
                <c:pt idx="155">
                  <c:v>109190</c:v>
                </c:pt>
                <c:pt idx="156">
                  <c:v>112110</c:v>
                </c:pt>
                <c:pt idx="157">
                  <c:v>112110</c:v>
                </c:pt>
                <c:pt idx="158">
                  <c:v>112570</c:v>
                </c:pt>
                <c:pt idx="159">
                  <c:v>112570</c:v>
                </c:pt>
                <c:pt idx="160">
                  <c:v>112650</c:v>
                </c:pt>
                <c:pt idx="161">
                  <c:v>112650</c:v>
                </c:pt>
                <c:pt idx="162">
                  <c:v>112650</c:v>
                </c:pt>
                <c:pt idx="163">
                  <c:v>112780</c:v>
                </c:pt>
                <c:pt idx="164">
                  <c:v>112780</c:v>
                </c:pt>
                <c:pt idx="165">
                  <c:v>113280</c:v>
                </c:pt>
                <c:pt idx="166">
                  <c:v>113280</c:v>
                </c:pt>
                <c:pt idx="167">
                  <c:v>114180</c:v>
                </c:pt>
                <c:pt idx="168">
                  <c:v>114180</c:v>
                </c:pt>
                <c:pt idx="169">
                  <c:v>114870</c:v>
                </c:pt>
                <c:pt idx="170">
                  <c:v>114870</c:v>
                </c:pt>
                <c:pt idx="171">
                  <c:v>114890</c:v>
                </c:pt>
                <c:pt idx="172">
                  <c:v>114890</c:v>
                </c:pt>
                <c:pt idx="173">
                  <c:v>115440</c:v>
                </c:pt>
                <c:pt idx="174">
                  <c:v>115440</c:v>
                </c:pt>
                <c:pt idx="175">
                  <c:v>115920</c:v>
                </c:pt>
                <c:pt idx="176">
                  <c:v>115920</c:v>
                </c:pt>
                <c:pt idx="177">
                  <c:v>118100</c:v>
                </c:pt>
                <c:pt idx="178">
                  <c:v>118100</c:v>
                </c:pt>
                <c:pt idx="179">
                  <c:v>118840</c:v>
                </c:pt>
                <c:pt idx="180">
                  <c:v>118840</c:v>
                </c:pt>
                <c:pt idx="181">
                  <c:v>119110</c:v>
                </c:pt>
                <c:pt idx="182">
                  <c:v>119110</c:v>
                </c:pt>
              </c:numCache>
            </c:numRef>
          </c:xVal>
          <c:yVal>
            <c:numRef>
              <c:f>'ALL Staff'!$K$2:$K$184</c:f>
              <c:numCache>
                <c:formatCode>0</c:formatCode>
                <c:ptCount val="183"/>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1</c:v>
                </c:pt>
                <c:pt idx="15">
                  <c:v>1</c:v>
                </c:pt>
                <c:pt idx="16">
                  <c:v>4</c:v>
                </c:pt>
                <c:pt idx="17">
                  <c:v>4</c:v>
                </c:pt>
                <c:pt idx="18">
                  <c:v>3</c:v>
                </c:pt>
                <c:pt idx="19">
                  <c:v>3</c:v>
                </c:pt>
                <c:pt idx="20">
                  <c:v>3</c:v>
                </c:pt>
                <c:pt idx="21">
                  <c:v>3</c:v>
                </c:pt>
                <c:pt idx="22">
                  <c:v>4</c:v>
                </c:pt>
                <c:pt idx="23">
                  <c:v>4</c:v>
                </c:pt>
                <c:pt idx="24">
                  <c:v>4</c:v>
                </c:pt>
                <c:pt idx="25">
                  <c:v>4</c:v>
                </c:pt>
                <c:pt idx="26">
                  <c:v>3</c:v>
                </c:pt>
                <c:pt idx="27">
                  <c:v>3</c:v>
                </c:pt>
                <c:pt idx="28">
                  <c:v>3</c:v>
                </c:pt>
                <c:pt idx="29">
                  <c:v>3</c:v>
                </c:pt>
                <c:pt idx="30">
                  <c:v>2</c:v>
                </c:pt>
                <c:pt idx="31">
                  <c:v>2</c:v>
                </c:pt>
                <c:pt idx="32">
                  <c:v>2</c:v>
                </c:pt>
                <c:pt idx="33">
                  <c:v>2</c:v>
                </c:pt>
                <c:pt idx="34">
                  <c:v>3</c:v>
                </c:pt>
                <c:pt idx="35">
                  <c:v>3</c:v>
                </c:pt>
                <c:pt idx="36">
                  <c:v>3</c:v>
                </c:pt>
                <c:pt idx="37">
                  <c:v>3</c:v>
                </c:pt>
                <c:pt idx="38">
                  <c:v>3</c:v>
                </c:pt>
                <c:pt idx="39">
                  <c:v>3</c:v>
                </c:pt>
                <c:pt idx="40">
                  <c:v>3</c:v>
                </c:pt>
                <c:pt idx="41">
                  <c:v>3</c:v>
                </c:pt>
                <c:pt idx="42">
                  <c:v>3</c:v>
                </c:pt>
                <c:pt idx="43">
                  <c:v>3</c:v>
                </c:pt>
                <c:pt idx="44">
                  <c:v>4</c:v>
                </c:pt>
                <c:pt idx="45">
                  <c:v>4</c:v>
                </c:pt>
                <c:pt idx="46">
                  <c:v>3</c:v>
                </c:pt>
                <c:pt idx="47">
                  <c:v>3</c:v>
                </c:pt>
                <c:pt idx="48">
                  <c:v>3</c:v>
                </c:pt>
                <c:pt idx="49">
                  <c:v>3</c:v>
                </c:pt>
                <c:pt idx="50">
                  <c:v>3</c:v>
                </c:pt>
                <c:pt idx="51">
                  <c:v>3</c:v>
                </c:pt>
                <c:pt idx="52">
                  <c:v>3</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3</c:v>
                </c:pt>
                <c:pt idx="69">
                  <c:v>3</c:v>
                </c:pt>
                <c:pt idx="70">
                  <c:v>2</c:v>
                </c:pt>
                <c:pt idx="71">
                  <c:v>2</c:v>
                </c:pt>
                <c:pt idx="72">
                  <c:v>3</c:v>
                </c:pt>
                <c:pt idx="73">
                  <c:v>3</c:v>
                </c:pt>
                <c:pt idx="74">
                  <c:v>2</c:v>
                </c:pt>
                <c:pt idx="75">
                  <c:v>2</c:v>
                </c:pt>
                <c:pt idx="76">
                  <c:v>3</c:v>
                </c:pt>
                <c:pt idx="77">
                  <c:v>3</c:v>
                </c:pt>
                <c:pt idx="78">
                  <c:v>3</c:v>
                </c:pt>
                <c:pt idx="79">
                  <c:v>3</c:v>
                </c:pt>
                <c:pt idx="80">
                  <c:v>3</c:v>
                </c:pt>
                <c:pt idx="81">
                  <c:v>3</c:v>
                </c:pt>
                <c:pt idx="82">
                  <c:v>2</c:v>
                </c:pt>
                <c:pt idx="83">
                  <c:v>2</c:v>
                </c:pt>
                <c:pt idx="84">
                  <c:v>3</c:v>
                </c:pt>
                <c:pt idx="85">
                  <c:v>3</c:v>
                </c:pt>
                <c:pt idx="86">
                  <c:v>3</c:v>
                </c:pt>
                <c:pt idx="87">
                  <c:v>3</c:v>
                </c:pt>
                <c:pt idx="88">
                  <c:v>3</c:v>
                </c:pt>
                <c:pt idx="89">
                  <c:v>3</c:v>
                </c:pt>
                <c:pt idx="90">
                  <c:v>5</c:v>
                </c:pt>
                <c:pt idx="91">
                  <c:v>5</c:v>
                </c:pt>
                <c:pt idx="92">
                  <c:v>3</c:v>
                </c:pt>
                <c:pt idx="93">
                  <c:v>3</c:v>
                </c:pt>
                <c:pt idx="94">
                  <c:v>1</c:v>
                </c:pt>
                <c:pt idx="95">
                  <c:v>1</c:v>
                </c:pt>
                <c:pt idx="96">
                  <c:v>3</c:v>
                </c:pt>
                <c:pt idx="97">
                  <c:v>3</c:v>
                </c:pt>
                <c:pt idx="98">
                  <c:v>3</c:v>
                </c:pt>
                <c:pt idx="99">
                  <c:v>3</c:v>
                </c:pt>
                <c:pt idx="100">
                  <c:v>4</c:v>
                </c:pt>
                <c:pt idx="101">
                  <c:v>4</c:v>
                </c:pt>
                <c:pt idx="102">
                  <c:v>3</c:v>
                </c:pt>
                <c:pt idx="103">
                  <c:v>3</c:v>
                </c:pt>
                <c:pt idx="104">
                  <c:v>3</c:v>
                </c:pt>
                <c:pt idx="105">
                  <c:v>3</c:v>
                </c:pt>
                <c:pt idx="106">
                  <c:v>3</c:v>
                </c:pt>
                <c:pt idx="107">
                  <c:v>3</c:v>
                </c:pt>
                <c:pt idx="108">
                  <c:v>4</c:v>
                </c:pt>
                <c:pt idx="109">
                  <c:v>4</c:v>
                </c:pt>
                <c:pt idx="110">
                  <c:v>3</c:v>
                </c:pt>
                <c:pt idx="111">
                  <c:v>3</c:v>
                </c:pt>
                <c:pt idx="112">
                  <c:v>3</c:v>
                </c:pt>
                <c:pt idx="113">
                  <c:v>3</c:v>
                </c:pt>
                <c:pt idx="114">
                  <c:v>3</c:v>
                </c:pt>
                <c:pt idx="115">
                  <c:v>3</c:v>
                </c:pt>
                <c:pt idx="116">
                  <c:v>3</c:v>
                </c:pt>
                <c:pt idx="117">
                  <c:v>3</c:v>
                </c:pt>
                <c:pt idx="118">
                  <c:v>2</c:v>
                </c:pt>
                <c:pt idx="119">
                  <c:v>2</c:v>
                </c:pt>
                <c:pt idx="120">
                  <c:v>4</c:v>
                </c:pt>
                <c:pt idx="121">
                  <c:v>4</c:v>
                </c:pt>
                <c:pt idx="122">
                  <c:v>3</c:v>
                </c:pt>
                <c:pt idx="123">
                  <c:v>3</c:v>
                </c:pt>
                <c:pt idx="124">
                  <c:v>4</c:v>
                </c:pt>
                <c:pt idx="125">
                  <c:v>4</c:v>
                </c:pt>
                <c:pt idx="126">
                  <c:v>3</c:v>
                </c:pt>
                <c:pt idx="127">
                  <c:v>3</c:v>
                </c:pt>
                <c:pt idx="128">
                  <c:v>3</c:v>
                </c:pt>
                <c:pt idx="129">
                  <c:v>3</c:v>
                </c:pt>
                <c:pt idx="130">
                  <c:v>3</c:v>
                </c:pt>
                <c:pt idx="131">
                  <c:v>3</c:v>
                </c:pt>
                <c:pt idx="132">
                  <c:v>3</c:v>
                </c:pt>
                <c:pt idx="133">
                  <c:v>3</c:v>
                </c:pt>
                <c:pt idx="134">
                  <c:v>3</c:v>
                </c:pt>
                <c:pt idx="135">
                  <c:v>3</c:v>
                </c:pt>
                <c:pt idx="136">
                  <c:v>3</c:v>
                </c:pt>
                <c:pt idx="137">
                  <c:v>3</c:v>
                </c:pt>
                <c:pt idx="138">
                  <c:v>3</c:v>
                </c:pt>
                <c:pt idx="139">
                  <c:v>3</c:v>
                </c:pt>
                <c:pt idx="140">
                  <c:v>3</c:v>
                </c:pt>
                <c:pt idx="141">
                  <c:v>3</c:v>
                </c:pt>
                <c:pt idx="142">
                  <c:v>3</c:v>
                </c:pt>
                <c:pt idx="143">
                  <c:v>3</c:v>
                </c:pt>
                <c:pt idx="144">
                  <c:v>3</c:v>
                </c:pt>
                <c:pt idx="145">
                  <c:v>3</c:v>
                </c:pt>
                <c:pt idx="146">
                  <c:v>3</c:v>
                </c:pt>
                <c:pt idx="147">
                  <c:v>3</c:v>
                </c:pt>
                <c:pt idx="148">
                  <c:v>3</c:v>
                </c:pt>
                <c:pt idx="149">
                  <c:v>3</c:v>
                </c:pt>
                <c:pt idx="150">
                  <c:v>3</c:v>
                </c:pt>
                <c:pt idx="151">
                  <c:v>3</c:v>
                </c:pt>
                <c:pt idx="152">
                  <c:v>5</c:v>
                </c:pt>
                <c:pt idx="153">
                  <c:v>5</c:v>
                </c:pt>
                <c:pt idx="154">
                  <c:v>4</c:v>
                </c:pt>
                <c:pt idx="155">
                  <c:v>4</c:v>
                </c:pt>
                <c:pt idx="156">
                  <c:v>2</c:v>
                </c:pt>
                <c:pt idx="157">
                  <c:v>2</c:v>
                </c:pt>
                <c:pt idx="158">
                  <c:v>3</c:v>
                </c:pt>
                <c:pt idx="159">
                  <c:v>3</c:v>
                </c:pt>
                <c:pt idx="160">
                  <c:v>3</c:v>
                </c:pt>
                <c:pt idx="161">
                  <c:v>3</c:v>
                </c:pt>
                <c:pt idx="162">
                  <c:v>3</c:v>
                </c:pt>
                <c:pt idx="163">
                  <c:v>4</c:v>
                </c:pt>
                <c:pt idx="164">
                  <c:v>4</c:v>
                </c:pt>
                <c:pt idx="165">
                  <c:v>1</c:v>
                </c:pt>
                <c:pt idx="166">
                  <c:v>1</c:v>
                </c:pt>
                <c:pt idx="167">
                  <c:v>3</c:v>
                </c:pt>
                <c:pt idx="168">
                  <c:v>3</c:v>
                </c:pt>
                <c:pt idx="169">
                  <c:v>3</c:v>
                </c:pt>
                <c:pt idx="170">
                  <c:v>3</c:v>
                </c:pt>
                <c:pt idx="171">
                  <c:v>3</c:v>
                </c:pt>
                <c:pt idx="172">
                  <c:v>3</c:v>
                </c:pt>
                <c:pt idx="173">
                  <c:v>2</c:v>
                </c:pt>
                <c:pt idx="174">
                  <c:v>2</c:v>
                </c:pt>
                <c:pt idx="175">
                  <c:v>3</c:v>
                </c:pt>
                <c:pt idx="176">
                  <c:v>3</c:v>
                </c:pt>
                <c:pt idx="177">
                  <c:v>3</c:v>
                </c:pt>
                <c:pt idx="178">
                  <c:v>3</c:v>
                </c:pt>
                <c:pt idx="179">
                  <c:v>3</c:v>
                </c:pt>
                <c:pt idx="180">
                  <c:v>3</c:v>
                </c:pt>
                <c:pt idx="181">
                  <c:v>3</c:v>
                </c:pt>
                <c:pt idx="182">
                  <c:v>3</c:v>
                </c:pt>
              </c:numCache>
            </c:numRef>
          </c:yVal>
          <c:smooth val="0"/>
          <c:extLst>
            <c:ext xmlns:c16="http://schemas.microsoft.com/office/drawing/2014/chart" uri="{C3380CC4-5D6E-409C-BE32-E72D297353CC}">
              <c16:uniqueId val="{00000000-17F0-41BC-A2A1-C654ADDD3346}"/>
            </c:ext>
          </c:extLst>
        </c:ser>
        <c:dLbls>
          <c:showLegendKey val="0"/>
          <c:showVal val="0"/>
          <c:showCatName val="0"/>
          <c:showSerName val="0"/>
          <c:showPercent val="0"/>
          <c:showBubbleSize val="0"/>
        </c:dLbls>
        <c:axId val="1020976239"/>
        <c:axId val="1020976719"/>
      </c:scatterChart>
      <c:valAx>
        <c:axId val="1020976239"/>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976719"/>
        <c:crosses val="autoZero"/>
        <c:crossBetween val="midCat"/>
      </c:valAx>
      <c:valAx>
        <c:axId val="10209767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97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.xlsx]Employee Trend!PivotTable3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'Employee Trend'!$C$2</c:f>
              <c:strCache>
                <c:ptCount val="1"/>
                <c:pt idx="0">
                  <c:v>Total</c:v>
                </c:pt>
              </c:strCache>
            </c:strRef>
          </c:tx>
          <c:spPr>
            <a:ln w="28575" cap="rnd">
              <a:solidFill>
                <a:schemeClr val="accent1"/>
              </a:solidFill>
              <a:round/>
            </a:ln>
            <a:effectLst/>
          </c:spPr>
          <c:marker>
            <c:symbol val="none"/>
          </c:marker>
          <c:cat>
            <c:multiLvlStrRef>
              <c:f>'Employee Trend'!$B$3:$B$39</c:f>
              <c:multiLvlStrCache>
                <c:ptCount val="32"/>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pt idx="13">
                    <c:v>Jun</c:v>
                  </c:pt>
                  <c:pt idx="14">
                    <c:v>Jul</c:v>
                  </c:pt>
                  <c:pt idx="15">
                    <c:v>Aug</c:v>
                  </c:pt>
                  <c:pt idx="16">
                    <c:v>Sep</c:v>
                  </c:pt>
                  <c:pt idx="17">
                    <c:v>Oct</c:v>
                  </c:pt>
                  <c:pt idx="18">
                    <c:v>Nov</c:v>
                  </c:pt>
                  <c:pt idx="19">
                    <c:v>Dec</c:v>
                  </c:pt>
                  <c:pt idx="20">
                    <c:v>Jan</c:v>
                  </c:pt>
                  <c:pt idx="21">
                    <c:v>Feb</c:v>
                  </c:pt>
                  <c:pt idx="22">
                    <c:v>Mar</c:v>
                  </c:pt>
                  <c:pt idx="23">
                    <c:v>Apr</c:v>
                  </c:pt>
                  <c:pt idx="24">
                    <c:v>May</c:v>
                  </c:pt>
                  <c:pt idx="25">
                    <c:v>Jun</c:v>
                  </c:pt>
                  <c:pt idx="26">
                    <c:v>Jul</c:v>
                  </c:pt>
                  <c:pt idx="27">
                    <c:v>Aug</c:v>
                  </c:pt>
                  <c:pt idx="28">
                    <c:v>Sep</c:v>
                  </c:pt>
                  <c:pt idx="29">
                    <c:v>Oct</c:v>
                  </c:pt>
                  <c:pt idx="30">
                    <c:v>Feb</c:v>
                  </c:pt>
                  <c:pt idx="31">
                    <c:v>Apr</c:v>
                  </c:pt>
                </c:lvl>
                <c:lvl>
                  <c:pt idx="0">
                    <c:v>2020</c:v>
                  </c:pt>
                  <c:pt idx="8">
                    <c:v>2021</c:v>
                  </c:pt>
                  <c:pt idx="20">
                    <c:v>2022</c:v>
                  </c:pt>
                  <c:pt idx="30">
                    <c:v>2023</c:v>
                  </c:pt>
                </c:lvl>
              </c:multiLvlStrCache>
            </c:multiLvlStrRef>
          </c:cat>
          <c:val>
            <c:numRef>
              <c:f>'Employee Trend'!$C$3:$C$39</c:f>
              <c:numCache>
                <c:formatCode>General</c:formatCode>
                <c:ptCount val="32"/>
                <c:pt idx="0">
                  <c:v>3</c:v>
                </c:pt>
                <c:pt idx="1">
                  <c:v>4</c:v>
                </c:pt>
                <c:pt idx="2">
                  <c:v>9</c:v>
                </c:pt>
                <c:pt idx="3">
                  <c:v>12</c:v>
                </c:pt>
                <c:pt idx="4">
                  <c:v>18</c:v>
                </c:pt>
                <c:pt idx="5">
                  <c:v>24</c:v>
                </c:pt>
                <c:pt idx="6">
                  <c:v>30</c:v>
                </c:pt>
                <c:pt idx="7">
                  <c:v>37</c:v>
                </c:pt>
                <c:pt idx="8">
                  <c:v>6</c:v>
                </c:pt>
                <c:pt idx="9">
                  <c:v>10</c:v>
                </c:pt>
                <c:pt idx="10">
                  <c:v>19</c:v>
                </c:pt>
                <c:pt idx="11">
                  <c:v>24</c:v>
                </c:pt>
                <c:pt idx="12">
                  <c:v>34</c:v>
                </c:pt>
                <c:pt idx="13">
                  <c:v>40</c:v>
                </c:pt>
                <c:pt idx="14">
                  <c:v>53</c:v>
                </c:pt>
                <c:pt idx="15">
                  <c:v>57</c:v>
                </c:pt>
                <c:pt idx="16">
                  <c:v>68</c:v>
                </c:pt>
                <c:pt idx="17">
                  <c:v>71</c:v>
                </c:pt>
                <c:pt idx="18">
                  <c:v>75</c:v>
                </c:pt>
                <c:pt idx="19">
                  <c:v>82</c:v>
                </c:pt>
                <c:pt idx="20">
                  <c:v>3</c:v>
                </c:pt>
                <c:pt idx="21">
                  <c:v>13</c:v>
                </c:pt>
                <c:pt idx="22">
                  <c:v>22</c:v>
                </c:pt>
                <c:pt idx="23">
                  <c:v>31</c:v>
                </c:pt>
                <c:pt idx="24">
                  <c:v>40</c:v>
                </c:pt>
                <c:pt idx="25">
                  <c:v>47</c:v>
                </c:pt>
                <c:pt idx="26">
                  <c:v>52</c:v>
                </c:pt>
                <c:pt idx="27">
                  <c:v>57</c:v>
                </c:pt>
                <c:pt idx="28">
                  <c:v>59</c:v>
                </c:pt>
                <c:pt idx="29">
                  <c:v>62</c:v>
                </c:pt>
                <c:pt idx="30">
                  <c:v>1</c:v>
                </c:pt>
                <c:pt idx="31">
                  <c:v>2</c:v>
                </c:pt>
              </c:numCache>
            </c:numRef>
          </c:val>
          <c:smooth val="0"/>
          <c:extLst>
            <c:ext xmlns:c16="http://schemas.microsoft.com/office/drawing/2014/chart" uri="{C3380CC4-5D6E-409C-BE32-E72D297353CC}">
              <c16:uniqueId val="{00000000-43F0-4DD4-AF5F-859613A86850}"/>
            </c:ext>
          </c:extLst>
        </c:ser>
        <c:dLbls>
          <c:showLegendKey val="0"/>
          <c:showVal val="0"/>
          <c:showCatName val="0"/>
          <c:showSerName val="0"/>
          <c:showPercent val="0"/>
          <c:showBubbleSize val="0"/>
        </c:dLbls>
        <c:smooth val="0"/>
        <c:axId val="1027553455"/>
        <c:axId val="1027554415"/>
      </c:lineChart>
      <c:catAx>
        <c:axId val="102755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554415"/>
        <c:crosses val="autoZero"/>
        <c:auto val="1"/>
        <c:lblAlgn val="ctr"/>
        <c:lblOffset val="100"/>
        <c:noMultiLvlLbl val="0"/>
      </c:catAx>
      <c:valAx>
        <c:axId val="1027554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553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'Employee Trend'!$S$3</c:f>
              <c:strCache>
                <c:ptCount val="1"/>
                <c:pt idx="0">
                  <c:v>Running 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'Employee Trend'!$Q$4:$Q$39</c:f>
              <c:numCache>
                <c:formatCode>mmm\-yy</c:formatCode>
                <c:ptCount val="36"/>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numCache>
            </c:numRef>
          </c:cat>
          <c:val>
            <c:numRef>
              <c:f>'Employee Trend'!$S$4:$S$39</c:f>
              <c:numCache>
                <c:formatCode>General</c:formatCode>
                <c:ptCount val="36"/>
                <c:pt idx="0">
                  <c:v>3</c:v>
                </c:pt>
                <c:pt idx="1">
                  <c:v>4</c:v>
                </c:pt>
                <c:pt idx="2">
                  <c:v>9</c:v>
                </c:pt>
                <c:pt idx="3">
                  <c:v>12</c:v>
                </c:pt>
                <c:pt idx="4">
                  <c:v>18</c:v>
                </c:pt>
                <c:pt idx="5">
                  <c:v>24</c:v>
                </c:pt>
                <c:pt idx="6">
                  <c:v>30</c:v>
                </c:pt>
                <c:pt idx="7">
                  <c:v>37</c:v>
                </c:pt>
                <c:pt idx="8">
                  <c:v>43</c:v>
                </c:pt>
                <c:pt idx="9">
                  <c:v>47</c:v>
                </c:pt>
                <c:pt idx="10">
                  <c:v>56</c:v>
                </c:pt>
                <c:pt idx="11">
                  <c:v>61</c:v>
                </c:pt>
                <c:pt idx="12">
                  <c:v>71</c:v>
                </c:pt>
                <c:pt idx="13">
                  <c:v>77</c:v>
                </c:pt>
                <c:pt idx="14">
                  <c:v>90</c:v>
                </c:pt>
                <c:pt idx="15">
                  <c:v>94</c:v>
                </c:pt>
                <c:pt idx="16">
                  <c:v>105</c:v>
                </c:pt>
                <c:pt idx="17">
                  <c:v>108</c:v>
                </c:pt>
                <c:pt idx="18">
                  <c:v>112</c:v>
                </c:pt>
                <c:pt idx="19">
                  <c:v>119</c:v>
                </c:pt>
                <c:pt idx="20">
                  <c:v>122</c:v>
                </c:pt>
                <c:pt idx="21">
                  <c:v>132</c:v>
                </c:pt>
                <c:pt idx="22">
                  <c:v>141</c:v>
                </c:pt>
                <c:pt idx="23">
                  <c:v>150</c:v>
                </c:pt>
                <c:pt idx="24">
                  <c:v>159</c:v>
                </c:pt>
                <c:pt idx="25">
                  <c:v>166</c:v>
                </c:pt>
                <c:pt idx="26">
                  <c:v>171</c:v>
                </c:pt>
                <c:pt idx="27">
                  <c:v>176</c:v>
                </c:pt>
                <c:pt idx="28">
                  <c:v>178</c:v>
                </c:pt>
                <c:pt idx="29">
                  <c:v>181</c:v>
                </c:pt>
                <c:pt idx="30">
                  <c:v>181</c:v>
                </c:pt>
                <c:pt idx="31">
                  <c:v>181</c:v>
                </c:pt>
                <c:pt idx="32">
                  <c:v>181</c:v>
                </c:pt>
                <c:pt idx="33">
                  <c:v>182</c:v>
                </c:pt>
                <c:pt idx="34">
                  <c:v>182</c:v>
                </c:pt>
                <c:pt idx="35">
                  <c:v>183</c:v>
                </c:pt>
              </c:numCache>
            </c:numRef>
          </c:val>
          <c:smooth val="0"/>
          <c:extLst>
            <c:ext xmlns:c16="http://schemas.microsoft.com/office/drawing/2014/chart" uri="{C3380CC4-5D6E-409C-BE32-E72D297353CC}">
              <c16:uniqueId val="{00000000-B697-4464-9DFA-11BB106F07FE}"/>
            </c:ext>
          </c:extLst>
        </c:ser>
        <c:dLbls>
          <c:showLegendKey val="0"/>
          <c:showVal val="0"/>
          <c:showCatName val="0"/>
          <c:showSerName val="0"/>
          <c:showPercent val="0"/>
          <c:showBubbleSize val="0"/>
        </c:dLbls>
        <c:marker val="1"/>
        <c:smooth val="0"/>
        <c:axId val="1179250303"/>
        <c:axId val="1179245503"/>
      </c:lineChart>
      <c:dateAx>
        <c:axId val="1179250303"/>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245503"/>
        <c:crosses val="autoZero"/>
        <c:auto val="1"/>
        <c:lblOffset val="100"/>
        <c:baseTimeUnit val="months"/>
      </c:dateAx>
      <c:valAx>
        <c:axId val="1179245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25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.xlsx]Processed Data!PivotTable1</c:name>
    <c:fmtId val="5"/>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'Processed Data'!$C$3</c:f>
              <c:strCache>
                <c:ptCount val="1"/>
                <c:pt idx="0">
                  <c:v>Total</c:v>
                </c:pt>
              </c:strCache>
            </c:strRef>
          </c:tx>
          <c:spPr>
            <a:solidFill>
              <a:schemeClr val="accent2"/>
            </a:solidFill>
            <a:ln>
              <a:noFill/>
            </a:ln>
            <a:effectLst/>
          </c:spPr>
          <c:invertIfNegative val="0"/>
          <c:cat>
            <c:strRef>
              <c:f>'Processed Data'!$B$4:$B$9</c:f>
              <c:strCache>
                <c:ptCount val="5"/>
                <c:pt idx="0">
                  <c:v>Procurement</c:v>
                </c:pt>
                <c:pt idx="1">
                  <c:v>Website</c:v>
                </c:pt>
                <c:pt idx="2">
                  <c:v>Finance</c:v>
                </c:pt>
                <c:pt idx="3">
                  <c:v>Sales</c:v>
                </c:pt>
                <c:pt idx="4">
                  <c:v>HR</c:v>
                </c:pt>
              </c:strCache>
            </c:strRef>
          </c:cat>
          <c:val>
            <c:numRef>
              <c:f>'Processed Data'!$C$4:$C$9</c:f>
              <c:numCache>
                <c:formatCode>General</c:formatCode>
                <c:ptCount val="5"/>
                <c:pt idx="0">
                  <c:v>28</c:v>
                </c:pt>
                <c:pt idx="1">
                  <c:v>27</c:v>
                </c:pt>
                <c:pt idx="2">
                  <c:v>19</c:v>
                </c:pt>
                <c:pt idx="3">
                  <c:v>14</c:v>
                </c:pt>
                <c:pt idx="4">
                  <c:v>4</c:v>
                </c:pt>
              </c:numCache>
            </c:numRef>
          </c:val>
          <c:extLst>
            <c:ext xmlns:c16="http://schemas.microsoft.com/office/drawing/2014/chart" uri="{C3380CC4-5D6E-409C-BE32-E72D297353CC}">
              <c16:uniqueId val="{00000000-B06B-4906-B395-9345492ECAE5}"/>
            </c:ext>
          </c:extLst>
        </c:ser>
        <c:dLbls>
          <c:showLegendKey val="0"/>
          <c:showVal val="0"/>
          <c:showCatName val="0"/>
          <c:showSerName val="0"/>
          <c:showPercent val="0"/>
          <c:showBubbleSize val="0"/>
        </c:dLbls>
        <c:gapWidth val="25"/>
        <c:axId val="1161849775"/>
        <c:axId val="1161847375"/>
      </c:barChart>
      <c:catAx>
        <c:axId val="11618497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847375"/>
        <c:crosses val="autoZero"/>
        <c:auto val="1"/>
        <c:lblAlgn val="ctr"/>
        <c:lblOffset val="100"/>
        <c:noMultiLvlLbl val="0"/>
      </c:catAx>
      <c:valAx>
        <c:axId val="1161847375"/>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84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.xlsx]Processed Data!PivotTable2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'Processed Data'!$G$3</c:f>
              <c:strCache>
                <c:ptCount val="1"/>
                <c:pt idx="0">
                  <c:v>Total</c:v>
                </c:pt>
              </c:strCache>
            </c:strRef>
          </c:tx>
          <c:spPr>
            <a:solidFill>
              <a:schemeClr val="accent1"/>
            </a:solidFill>
            <a:ln>
              <a:noFill/>
            </a:ln>
            <a:effectLst/>
          </c:spPr>
          <c:invertIfNegative val="0"/>
          <c:cat>
            <c:strRef>
              <c:f>'Processed Data'!$F$4:$F$9</c:f>
              <c:strCache>
                <c:ptCount val="5"/>
                <c:pt idx="0">
                  <c:v>Website</c:v>
                </c:pt>
                <c:pt idx="1">
                  <c:v>Procurement</c:v>
                </c:pt>
                <c:pt idx="2">
                  <c:v>Finance</c:v>
                </c:pt>
                <c:pt idx="3">
                  <c:v>Sales</c:v>
                </c:pt>
                <c:pt idx="4">
                  <c:v>HR</c:v>
                </c:pt>
              </c:strCache>
            </c:strRef>
          </c:cat>
          <c:val>
            <c:numRef>
              <c:f>'Processed Data'!$G$4:$G$9</c:f>
              <c:numCache>
                <c:formatCode>General</c:formatCode>
                <c:ptCount val="5"/>
                <c:pt idx="0">
                  <c:v>27</c:v>
                </c:pt>
                <c:pt idx="1">
                  <c:v>27</c:v>
                </c:pt>
                <c:pt idx="2">
                  <c:v>19</c:v>
                </c:pt>
                <c:pt idx="3">
                  <c:v>14</c:v>
                </c:pt>
                <c:pt idx="4">
                  <c:v>4</c:v>
                </c:pt>
              </c:numCache>
            </c:numRef>
          </c:val>
          <c:extLst>
            <c:ext xmlns:c16="http://schemas.microsoft.com/office/drawing/2014/chart" uri="{C3380CC4-5D6E-409C-BE32-E72D297353CC}">
              <c16:uniqueId val="{00000000-79C9-4DB2-8E1C-6608382B160B}"/>
            </c:ext>
          </c:extLst>
        </c:ser>
        <c:dLbls>
          <c:showLegendKey val="0"/>
          <c:showVal val="0"/>
          <c:showCatName val="0"/>
          <c:showSerName val="0"/>
          <c:showPercent val="0"/>
          <c:showBubbleSize val="0"/>
        </c:dLbls>
        <c:gapWidth val="25"/>
        <c:axId val="1179232543"/>
        <c:axId val="1179231103"/>
      </c:barChart>
      <c:catAx>
        <c:axId val="11792325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231103"/>
        <c:crosses val="autoZero"/>
        <c:auto val="1"/>
        <c:lblAlgn val="ctr"/>
        <c:lblOffset val="100"/>
        <c:noMultiLvlLbl val="0"/>
      </c:catAx>
      <c:valAx>
        <c:axId val="1179231103"/>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23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Salary Spread - by $10K</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Salary Spread - by $10K</a:t>
          </a:r>
        </a:p>
      </cx:txPr>
    </cx:title>
    <cx:plotArea>
      <cx:plotAreaRegion>
        <cx:series layoutId="clusteredColumn" uniqueId="{BCE0B191-E345-4C39-9ABA-1D9C85CC9B46}">
          <cx:tx>
            <cx:txData>
              <cx:f>_xlchart.v1.2</cx:f>
              <cx:v>Salary</cx:v>
            </cx:txData>
          </cx:tx>
          <cx:dataId val="0"/>
          <cx:layoutPr>
            <cx:binning intervalClosed="r" underflow="40000">
              <cx:binSize val="10000"/>
            </cx:binning>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Salary Spread - Box Plot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Salary Spread - Box Plot</a:t>
          </a:r>
        </a:p>
      </cx:txPr>
    </cx:title>
    <cx:plotArea>
      <cx:plotAreaRegion>
        <cx:series layoutId="boxWhisker" uniqueId="{229FB49A-4DF8-45AF-90AB-9D1F8EF88131}">
          <cx:tx>
            <cx:txData>
              <cx:f>_xlchart.v1.0</cx:f>
              <cx:v>Salary</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374650</xdr:colOff>
      <xdr:row>5</xdr:row>
      <xdr:rowOff>1</xdr:rowOff>
    </xdr:from>
    <xdr:to>
      <xdr:col>6</xdr:col>
      <xdr:colOff>628650</xdr:colOff>
      <xdr:row>10</xdr:row>
      <xdr:rowOff>120650</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11DE9493-6741-D03D-ACDD-9806EC5CCFB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689350" y="971551"/>
              <a:ext cx="1828800" cy="1041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222249</xdr:colOff>
      <xdr:row>0</xdr:row>
      <xdr:rowOff>95250</xdr:rowOff>
    </xdr:from>
    <xdr:to>
      <xdr:col>9</xdr:col>
      <xdr:colOff>197556</xdr:colOff>
      <xdr:row>20</xdr:row>
      <xdr:rowOff>31750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E7FA9D3-7644-4814-ADDE-BE706E628B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22249" y="95250"/>
              <a:ext cx="5461707" cy="3619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153811</xdr:colOff>
      <xdr:row>0</xdr:row>
      <xdr:rowOff>125588</xdr:rowOff>
    </xdr:from>
    <xdr:to>
      <xdr:col>17</xdr:col>
      <xdr:colOff>26811</xdr:colOff>
      <xdr:row>25</xdr:row>
      <xdr:rowOff>23989</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71CD475D-6981-4512-B3D3-6325995CB7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249811" y="125588"/>
              <a:ext cx="4140200" cy="45021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44450</xdr:colOff>
      <xdr:row>1</xdr:row>
      <xdr:rowOff>107950</xdr:rowOff>
    </xdr:from>
    <xdr:to>
      <xdr:col>15</xdr:col>
      <xdr:colOff>273050</xdr:colOff>
      <xdr:row>19</xdr:row>
      <xdr:rowOff>152400</xdr:rowOff>
    </xdr:to>
    <xdr:graphicFrame macro="">
      <xdr:nvGraphicFramePr>
        <xdr:cNvPr id="2" name="Chart 1">
          <a:extLst>
            <a:ext uri="{FF2B5EF4-FFF2-40B4-BE49-F238E27FC236}">
              <a16:creationId xmlns:a16="http://schemas.microsoft.com/office/drawing/2014/main" id="{FACAE50C-828F-47D7-849B-5ACCC19A6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492672</xdr:colOff>
      <xdr:row>1</xdr:row>
      <xdr:rowOff>67003</xdr:rowOff>
    </xdr:from>
    <xdr:to>
      <xdr:col>14</xdr:col>
      <xdr:colOff>98534</xdr:colOff>
      <xdr:row>15</xdr:row>
      <xdr:rowOff>92404</xdr:rowOff>
    </xdr:to>
    <xdr:graphicFrame macro="">
      <xdr:nvGraphicFramePr>
        <xdr:cNvPr id="2" name="Chart 1">
          <a:extLst>
            <a:ext uri="{FF2B5EF4-FFF2-40B4-BE49-F238E27FC236}">
              <a16:creationId xmlns:a16="http://schemas.microsoft.com/office/drawing/2014/main" id="{4662EC6C-2365-CD7C-2C7C-531D3552B6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566967</xdr:colOff>
      <xdr:row>2</xdr:row>
      <xdr:rowOff>149974</xdr:rowOff>
    </xdr:from>
    <xdr:to>
      <xdr:col>29</xdr:col>
      <xdr:colOff>71315</xdr:colOff>
      <xdr:row>17</xdr:row>
      <xdr:rowOff>92347</xdr:rowOff>
    </xdr:to>
    <xdr:graphicFrame macro="">
      <xdr:nvGraphicFramePr>
        <xdr:cNvPr id="4" name="Chart 3">
          <a:extLst>
            <a:ext uri="{FF2B5EF4-FFF2-40B4-BE49-F238E27FC236}">
              <a16:creationId xmlns:a16="http://schemas.microsoft.com/office/drawing/2014/main" id="{B3A4B15F-CB9C-77FC-90E0-51244FA63F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0</xdr:colOff>
      <xdr:row>8</xdr:row>
      <xdr:rowOff>0</xdr:rowOff>
    </xdr:from>
    <xdr:to>
      <xdr:col>14</xdr:col>
      <xdr:colOff>0</xdr:colOff>
      <xdr:row>24</xdr:row>
      <xdr:rowOff>0</xdr:rowOff>
    </xdr:to>
    <xdr:graphicFrame macro="">
      <xdr:nvGraphicFramePr>
        <xdr:cNvPr id="2" name="Chart 1">
          <a:extLst>
            <a:ext uri="{FF2B5EF4-FFF2-40B4-BE49-F238E27FC236}">
              <a16:creationId xmlns:a16="http://schemas.microsoft.com/office/drawing/2014/main" id="{57DFB451-5730-46F0-B2C9-32ECCA3FB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595302</xdr:colOff>
      <xdr:row>8</xdr:row>
      <xdr:rowOff>1</xdr:rowOff>
    </xdr:from>
    <xdr:to>
      <xdr:col>7</xdr:col>
      <xdr:colOff>0</xdr:colOff>
      <xdr:row>24</xdr:row>
      <xdr:rowOff>1</xdr:rowOff>
    </xdr:to>
    <xdr:graphicFrame macro="">
      <xdr:nvGraphicFramePr>
        <xdr:cNvPr id="3" name="Chart 2">
          <a:extLst>
            <a:ext uri="{FF2B5EF4-FFF2-40B4-BE49-F238E27FC236}">
              <a16:creationId xmlns:a16="http://schemas.microsoft.com/office/drawing/2014/main" id="{1324DDEA-1860-49B1-9F2F-4FEDD250F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i yogi" refreshedDate="46132.493850462961" backgroundQuery="1" createdVersion="8" refreshedVersion="8" minRefreshableVersion="3" recordCount="0" supportSubquery="1" supportAdvancedDrill="1" xr:uid="{1E9D9046-6BC1-4759-8E0F-8768A101C89B}">
  <cacheSource type="external" connectionId="4"/>
  <cacheFields count="3">
    <cacheField name="[staff].[Date Joined (Month)].[Date Joined (Month)]" caption="Date Joined (Month)" numFmtId="0" hierarchy="12" level="1">
      <sharedItems count="12">
        <s v="May"/>
        <s v="Jun"/>
        <s v="Jul"/>
        <s v="Aug"/>
        <s v="Sep"/>
        <s v="Oct"/>
        <s v="Nov"/>
        <s v="Dec"/>
        <s v="Jan"/>
        <s v="Feb"/>
        <s v="Mar"/>
        <s v="Apr"/>
      </sharedItems>
    </cacheField>
    <cacheField name="[staff].[Date Joined (Year)].[Date Joined (Year)]" caption="Date Joined (Year)" numFmtId="0" hierarchy="10" level="1">
      <sharedItems count="4">
        <s v="2020"/>
        <s v="2021"/>
        <s v="2022"/>
        <s v="2023"/>
      </sharedItems>
    </cacheField>
    <cacheField name="[Measures].[Count of Name]" caption="Count of Name" numFmtId="0" hierarchy="17" level="32767"/>
  </cacheFields>
  <cacheHierarchies count="26">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Age]" caption="Age" attribute="1" defaultMemberUniqueName="[staff].[Age].[All]" allUniqueName="[staff].[Age].[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Date Joined]" caption="Date Joined" attribute="1" time="1" defaultMemberUniqueName="[staff].[Date Joined].[All]" allUniqueName="[staff].[Date Joined].[All]" dimensionUniqueName="[staff]" displayFolder="" count="0" memberValueDatatype="7" unbalanced="0"/>
    <cacheHierarchy uniqueName="[staff].[Department]" caption="Department" attribute="1" defaultMemberUniqueName="[staff].[Department].[All]" allUniqueName="[staff].[Department].[All]" dimensionUniqueName="[staff]" displayFolder="" count="0" memberValueDatatype="130" unbalanced="0"/>
    <cacheHierarchy uniqueName="[staff].[Salary]" caption="Salary" attribute="1" defaultMemberUniqueName="[staff].[Salary].[All]" allUniqueName="[staff].[Salary].[All]" dimensionUniqueName="[staff]" displayFolder="" count="0" memberValueDatatype="20" unbalanced="0"/>
    <cacheHierarchy uniqueName="[staff].[Country]" caption="Country" attribute="1" defaultMemberUniqueName="[staff].[Country].[All]" allUniqueName="[staff].[Country].[All]" dimensionUniqueName="[staff]" displayFolder="" count="0" memberValueDatatype="130" unbalanced="0"/>
    <cacheHierarchy uniqueName="[staff].[Tenure]" caption="Tenure" attribute="1" defaultMemberUniqueName="[staff].[Tenure].[All]" allUniqueName="[staff].[Tenure].[All]" dimensionUniqueName="[staff]" displayFolder="" count="0" memberValueDatatype="5" unbalanced="0"/>
    <cacheHierarchy uniqueName="[staff].[Bonus]" caption="Bonus" attribute="1" defaultMemberUniqueName="[staff].[Bonus].[All]" allUniqueName="[staff].[Bonus].[All]" dimensionUniqueName="[staff]" displayFolder="" count="0" memberValueDatatype="20" unbalanced="0"/>
    <cacheHierarchy uniqueName="[staff].[Date Joined (Year)]" caption="Date Joined (Year)" attribute="1" defaultMemberUniqueName="[staff].[Date Joined (Year)].[All]" allUniqueName="[staff].[Date Joined (Year)].[All]" dimensionUniqueName="[staff]" displayFolder="" count="2" memberValueDatatype="130" unbalanced="0">
      <fieldsUsage count="2">
        <fieldUsage x="-1"/>
        <fieldUsage x="1"/>
      </fieldsUsage>
    </cacheHierarchy>
    <cacheHierarchy uniqueName="[staff].[Date Joined (Quarter)]" caption="Date Joined (Quarter)" attribute="1" defaultMemberUniqueName="[staff].[Date Joined (Quarter)].[All]" allUniqueName="[staff].[Date Joined (Quarter)].[All]" dimensionUniqueName="[staff]" displayFolder="" count="0" memberValueDatatype="130" unbalanced="0"/>
    <cacheHierarchy uniqueName="[staff].[Date Joined (Month)]" caption="Date Joined (Month)" attribute="1" defaultMemberUniqueName="[staff].[Date Joined (Month)].[All]" allUniqueName="[staff].[Date Joined (Month)].[All]" dimensionUniqueName="[staff]" displayFolder="" count="2" memberValueDatatype="130" unbalanced="0">
      <fieldsUsage count="2">
        <fieldUsage x="-1"/>
        <fieldUsage x="0"/>
      </fieldsUsage>
    </cacheHierarchy>
    <cacheHierarchy uniqueName="[staff].[Rating as Number]" caption="Rating as Number" attribute="1" defaultMemberUniqueName="[staff].[Rating as Number].[All]" allUniqueName="[staff].[Rating as Number].[All]" dimensionUniqueName="[staff]" displayFolder="" count="0" memberValueDatatype="20" unbalanced="0"/>
    <cacheHierarchy uniqueName="[staff].[Date Joined (Month Index)]" caption="Date Joined (Month Index)" attribute="1" defaultMemberUniqueName="[staff].[Date Joined (Month Index)].[All]" allUniqueName="[staff].[Date Joined (Month Index)].[All]" dimensionUniqueName="[staff]" displayFolder="" count="0" memberValueDatatype="20" unbalanced="0" hidden="1"/>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Name]" caption="Count of Name" measure="1" displayFolder="" measureGroup="staff"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taff"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staff" count="0" hidden="1">
      <extLst>
        <ext xmlns:x15="http://schemas.microsoft.com/office/spreadsheetml/2010/11/main" uri="{B97F6D7D-B522-45F9-BDA1-12C45D357490}">
          <x15:cacheHierarchy aggregatedColumn="6"/>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staff" count="0" hidden="1">
      <extLst>
        <ext xmlns:x15="http://schemas.microsoft.com/office/spreadsheetml/2010/11/main" uri="{B97F6D7D-B522-45F9-BDA1-12C45D357490}">
          <x15:cacheHierarchy aggregatedColumn="6"/>
        </ext>
      </extLst>
    </cacheHierarchy>
    <cacheHierarchy uniqueName="[Measures].[Average of Tenure]" caption="Average of Tenure" measure="1" displayFolder="" measureGroup="staff" count="0" hidden="1">
      <extLst>
        <ext xmlns:x15="http://schemas.microsoft.com/office/spreadsheetml/2010/11/main" uri="{B97F6D7D-B522-45F9-BDA1-12C45D357490}">
          <x15:cacheHierarchy aggregatedColumn="8"/>
        </ext>
      </extLst>
    </cacheHierarchy>
    <cacheHierarchy uniqueName="[Measures].[Sum of Bonus]" caption="Sum of Bonus" measure="1" displayFolder="" measureGroup="staff" count="0" hidden="1">
      <extLst>
        <ext xmlns:x15="http://schemas.microsoft.com/office/spreadsheetml/2010/11/main" uri="{B97F6D7D-B522-45F9-BDA1-12C45D357490}">
          <x15:cacheHierarchy aggregatedColumn="9"/>
        </ext>
      </extLst>
    </cacheHierarchy>
    <cacheHierarchy uniqueName="[Measures].[Max of Bonus]" caption="Max of Bonus" measure="1" displayFolder="" measureGroup="staff"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i yogi" refreshedDate="46132.493852777778" backgroundQuery="1" createdVersion="8" refreshedVersion="8" minRefreshableVersion="3" recordCount="0" supportSubquery="1" supportAdvancedDrill="1" xr:uid="{E8DFA24D-7D3B-41F0-A7C2-6DBAB176E39E}">
  <cacheSource type="external" connectionId="4"/>
  <cacheFields count="6">
    <cacheField name="[staff].[Gender].[Gender]" caption="Gender" numFmtId="0" hierarchy="1" level="1">
      <sharedItems count="2">
        <s v="Female"/>
        <s v="Male"/>
      </sharedItems>
    </cacheField>
    <cacheField name="[Measures].[Count of Name]" caption="Count of Name" numFmtId="0" hierarchy="17" level="32767"/>
    <cacheField name="[Measures].[Average of Age]" caption="Average of Age" numFmtId="0" hierarchy="19" level="32767"/>
    <cacheField name="[Measures].[Average of Salary]" caption="Average of Salary" numFmtId="0" hierarchy="22" level="32767"/>
    <cacheField name="[Measures].[Average of Tenure]" caption="Average of Tenure" numFmtId="0" hierarchy="23" level="32767"/>
    <cacheField name="[staff].[Country].[Country]" caption="Country" numFmtId="0" hierarchy="7" level="1">
      <sharedItems containsSemiMixedTypes="0" containsNonDate="0" containsString="0"/>
    </cacheField>
  </cacheFields>
  <cacheHierarchies count="26">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2" memberValueDatatype="130" unbalanced="0">
      <fieldsUsage count="2">
        <fieldUsage x="-1"/>
        <fieldUsage x="0"/>
      </fieldsUsage>
    </cacheHierarchy>
    <cacheHierarchy uniqueName="[staff].[Age]" caption="Age" attribute="1" defaultMemberUniqueName="[staff].[Age].[All]" allUniqueName="[staff].[Age].[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Date Joined]" caption="Date Joined" attribute="1" time="1" defaultMemberUniqueName="[staff].[Date Joined].[All]" allUniqueName="[staff].[Date Joined].[All]" dimensionUniqueName="[staff]" displayFolder="" count="0" memberValueDatatype="7" unbalanced="0"/>
    <cacheHierarchy uniqueName="[staff].[Department]" caption="Department" attribute="1" defaultMemberUniqueName="[staff].[Department].[All]" allUniqueName="[staff].[Department].[All]" dimensionUniqueName="[staff]" displayFolder="" count="0" memberValueDatatype="130" unbalanced="0"/>
    <cacheHierarchy uniqueName="[staff].[Salary]" caption="Salary" attribute="1" defaultMemberUniqueName="[staff].[Salary].[All]" allUniqueName="[staff].[Salary].[All]" dimensionUniqueName="[staff]" displayFolder="" count="0" memberValueDatatype="20" unbalanced="0"/>
    <cacheHierarchy uniqueName="[staff].[Country]" caption="Country" attribute="1" defaultMemberUniqueName="[staff].[Country].[All]" allUniqueName="[staff].[Country].[All]" dimensionUniqueName="[staff]" displayFolder="" count="2" memberValueDatatype="130" unbalanced="0">
      <fieldsUsage count="2">
        <fieldUsage x="-1"/>
        <fieldUsage x="5"/>
      </fieldsUsage>
    </cacheHierarchy>
    <cacheHierarchy uniqueName="[staff].[Tenure]" caption="Tenure" attribute="1" defaultMemberUniqueName="[staff].[Tenure].[All]" allUniqueName="[staff].[Tenure].[All]" dimensionUniqueName="[staff]" displayFolder="" count="0" memberValueDatatype="5" unbalanced="0"/>
    <cacheHierarchy uniqueName="[staff].[Bonus]" caption="Bonus" attribute="1" defaultMemberUniqueName="[staff].[Bonus].[All]" allUniqueName="[staff].[Bonus].[All]" dimensionUniqueName="[staff]" displayFolder="" count="0" memberValueDatatype="20" unbalanced="0"/>
    <cacheHierarchy uniqueName="[staff].[Date Joined (Year)]" caption="Date Joined (Year)" attribute="1" defaultMemberUniqueName="[staff].[Date Joined (Year)].[All]" allUniqueName="[staff].[Date Joined (Year)].[All]" dimensionUniqueName="[staff]" displayFolder="" count="0" memberValueDatatype="130" unbalanced="0"/>
    <cacheHierarchy uniqueName="[staff].[Date Joined (Quarter)]" caption="Date Joined (Quarter)" attribute="1" defaultMemberUniqueName="[staff].[Date Joined (Quarter)].[All]" allUniqueName="[staff].[Date Joined (Quarter)].[All]" dimensionUniqueName="[staff]" displayFolder="" count="0" memberValueDatatype="130" unbalanced="0"/>
    <cacheHierarchy uniqueName="[staff].[Date Joined (Month)]" caption="Date Joined (Month)" attribute="1" defaultMemberUniqueName="[staff].[Date Joined (Month)].[All]" allUniqueName="[staff].[Date Joined (Month)].[All]" dimensionUniqueName="[staff]" displayFolder="" count="0" memberValueDatatype="130" unbalanced="0"/>
    <cacheHierarchy uniqueName="[staff].[Rating as Number]" caption="Rating as Number" attribute="1" defaultMemberUniqueName="[staff].[Rating as Number].[All]" allUniqueName="[staff].[Rating as Number].[All]" dimensionUniqueName="[staff]" displayFolder="" count="0" memberValueDatatype="20" unbalanced="0"/>
    <cacheHierarchy uniqueName="[staff].[Date Joined (Month Index)]" caption="Date Joined (Month Index)" attribute="1" defaultMemberUniqueName="[staff].[Date Joined (Month Index)].[All]" allUniqueName="[staff].[Date Joined (Month Index)].[All]" dimensionUniqueName="[staff]" displayFolder="" count="0" memberValueDatatype="20" unbalanced="0" hidden="1"/>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Name]" caption="Count of Name" measure="1" displayFolder="" measureGroup="staff"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taff"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Salary]" caption="Sum of Salary" measure="1" displayFolder="" measureGroup="staff" count="0" hidden="1">
      <extLst>
        <ext xmlns:x15="http://schemas.microsoft.com/office/spreadsheetml/2010/11/main" uri="{B97F6D7D-B522-45F9-BDA1-12C45D357490}">
          <x15:cacheHierarchy aggregatedColumn="6"/>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staff" count="0" oneField="1" hidden="1">
      <fieldsUsage count="1">
        <fieldUsage x="3"/>
      </fieldsUsage>
      <extLst>
        <ext xmlns:x15="http://schemas.microsoft.com/office/spreadsheetml/2010/11/main" uri="{B97F6D7D-B522-45F9-BDA1-12C45D357490}">
          <x15:cacheHierarchy aggregatedColumn="6"/>
        </ext>
      </extLst>
    </cacheHierarchy>
    <cacheHierarchy uniqueName="[Measures].[Average of Tenure]" caption="Average of Tenure" measure="1" displayFolder="" measureGroup="staff" count="0" oneField="1" hidden="1">
      <fieldsUsage count="1">
        <fieldUsage x="4"/>
      </fieldsUsage>
      <extLst>
        <ext xmlns:x15="http://schemas.microsoft.com/office/spreadsheetml/2010/11/main" uri="{B97F6D7D-B522-45F9-BDA1-12C45D357490}">
          <x15:cacheHierarchy aggregatedColumn="8"/>
        </ext>
      </extLst>
    </cacheHierarchy>
    <cacheHierarchy uniqueName="[Measures].[Sum of Bonus]" caption="Sum of Bonus" measure="1" displayFolder="" measureGroup="staff" count="0" hidden="1">
      <extLst>
        <ext xmlns:x15="http://schemas.microsoft.com/office/spreadsheetml/2010/11/main" uri="{B97F6D7D-B522-45F9-BDA1-12C45D357490}">
          <x15:cacheHierarchy aggregatedColumn="9"/>
        </ext>
      </extLst>
    </cacheHierarchy>
    <cacheHierarchy uniqueName="[Measures].[Max of Bonus]" caption="Max of Bonus" measure="1" displayFolder="" measureGroup="staff"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i yogi" refreshedDate="46132.493855208333" backgroundQuery="1" createdVersion="8" refreshedVersion="8" minRefreshableVersion="3" recordCount="0" supportSubquery="1" supportAdvancedDrill="1" xr:uid="{C98044B4-41CE-4E7D-8F9D-004AD775DAE7}">
  <cacheSource type="external" connectionId="4"/>
  <cacheFields count="2">
    <cacheField name="[staff].[Name].[Name]" caption="Name" numFmtId="0" level="1">
      <sharedItems count="10">
        <s v="Anjushri Chandiramani"/>
        <s v="Benny Karolovsky"/>
        <s v="Ewart Laphorn"/>
        <s v="Heer Pennathur"/>
        <s v="Kaishori Harathi Kateel"/>
        <s v="Roddy Speechley"/>
        <s v="Sahila Chandrasekhar"/>
        <s v="Sarayu Ragunathan"/>
        <s v="Tawnya Tickel"/>
        <s v="Valentia Etteridge"/>
      </sharedItems>
    </cacheField>
    <cacheField name="[Measures].[Sum of Bonus]" caption="Sum of Bonus" numFmtId="0" hierarchy="24" level="32767"/>
  </cacheFields>
  <cacheHierarchies count="26">
    <cacheHierarchy uniqueName="[staff].[Name]" caption="Name" attribute="1" defaultMemberUniqueName="[staff].[Name].[All]" allUniqueName="[staff].[Name].[All]" dimensionUniqueName="[staff]" displayFolder="" count="2" memberValueDatatype="130" unbalanced="0">
      <fieldsUsage count="2">
        <fieldUsage x="-1"/>
        <fieldUsage x="0"/>
      </fieldsUsage>
    </cacheHierarchy>
    <cacheHierarchy uniqueName="[staff].[Gender]" caption="Gender" attribute="1" defaultMemberUniqueName="[staff].[Gender].[All]" allUniqueName="[staff].[Gender].[All]" dimensionUniqueName="[staff]" displayFolder="" count="0" memberValueDatatype="130" unbalanced="0"/>
    <cacheHierarchy uniqueName="[staff].[Age]" caption="Age" attribute="1" defaultMemberUniqueName="[staff].[Age].[All]" allUniqueName="[staff].[Age].[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Date Joined]" caption="Date Joined" attribute="1" time="1" defaultMemberUniqueName="[staff].[Date Joined].[All]" allUniqueName="[staff].[Date Joined].[All]" dimensionUniqueName="[staff]" displayFolder="" count="0" memberValueDatatype="7" unbalanced="0"/>
    <cacheHierarchy uniqueName="[staff].[Department]" caption="Department" attribute="1" defaultMemberUniqueName="[staff].[Department].[All]" allUniqueName="[staff].[Department].[All]" dimensionUniqueName="[staff]" displayFolder="" count="0" memberValueDatatype="130" unbalanced="0"/>
    <cacheHierarchy uniqueName="[staff].[Salary]" caption="Salary" attribute="1" defaultMemberUniqueName="[staff].[Salary].[All]" allUniqueName="[staff].[Salary].[All]" dimensionUniqueName="[staff]" displayFolder="" count="0" memberValueDatatype="20" unbalanced="0"/>
    <cacheHierarchy uniqueName="[staff].[Country]" caption="Country" attribute="1" defaultMemberUniqueName="[staff].[Country].[All]" allUniqueName="[staff].[Country].[All]" dimensionUniqueName="[staff]" displayFolder="" count="0" memberValueDatatype="130" unbalanced="0"/>
    <cacheHierarchy uniqueName="[staff].[Tenure]" caption="Tenure" attribute="1" defaultMemberUniqueName="[staff].[Tenure].[All]" allUniqueName="[staff].[Tenure].[All]" dimensionUniqueName="[staff]" displayFolder="" count="0" memberValueDatatype="5" unbalanced="0"/>
    <cacheHierarchy uniqueName="[staff].[Bonus]" caption="Bonus" attribute="1" defaultMemberUniqueName="[staff].[Bonus].[All]" allUniqueName="[staff].[Bonus].[All]" dimensionUniqueName="[staff]" displayFolder="" count="0" memberValueDatatype="20" unbalanced="0"/>
    <cacheHierarchy uniqueName="[staff].[Date Joined (Year)]" caption="Date Joined (Year)" attribute="1" defaultMemberUniqueName="[staff].[Date Joined (Year)].[All]" allUniqueName="[staff].[Date Joined (Year)].[All]" dimensionUniqueName="[staff]" displayFolder="" count="0" memberValueDatatype="130" unbalanced="0"/>
    <cacheHierarchy uniqueName="[staff].[Date Joined (Quarter)]" caption="Date Joined (Quarter)" attribute="1" defaultMemberUniqueName="[staff].[Date Joined (Quarter)].[All]" allUniqueName="[staff].[Date Joined (Quarter)].[All]" dimensionUniqueName="[staff]" displayFolder="" count="0" memberValueDatatype="130" unbalanced="0"/>
    <cacheHierarchy uniqueName="[staff].[Date Joined (Month)]" caption="Date Joined (Month)" attribute="1" defaultMemberUniqueName="[staff].[Date Joined (Month)].[All]" allUniqueName="[staff].[Date Joined (Month)].[All]" dimensionUniqueName="[staff]" displayFolder="" count="0" memberValueDatatype="130" unbalanced="0"/>
    <cacheHierarchy uniqueName="[staff].[Rating as Number]" caption="Rating as Number" attribute="1" defaultMemberUniqueName="[staff].[Rating as Number].[All]" allUniqueName="[staff].[Rating as Number].[All]" dimensionUniqueName="[staff]" displayFolder="" count="0" memberValueDatatype="20" unbalanced="0"/>
    <cacheHierarchy uniqueName="[staff].[Date Joined (Month Index)]" caption="Date Joined (Month Index)" attribute="1" defaultMemberUniqueName="[staff].[Date Joined (Month Index)].[All]" allUniqueName="[staff].[Date Joined (Month Index)].[All]" dimensionUniqueName="[staff]" displayFolder="" count="0" memberValueDatatype="20" unbalanced="0" hidden="1"/>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Name]" caption="Count of Name" measure="1" displayFolder="" measureGroup="staff"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taff"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staff" count="0" hidden="1">
      <extLst>
        <ext xmlns:x15="http://schemas.microsoft.com/office/spreadsheetml/2010/11/main" uri="{B97F6D7D-B522-45F9-BDA1-12C45D357490}">
          <x15:cacheHierarchy aggregatedColumn="6"/>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staff" count="0" hidden="1">
      <extLst>
        <ext xmlns:x15="http://schemas.microsoft.com/office/spreadsheetml/2010/11/main" uri="{B97F6D7D-B522-45F9-BDA1-12C45D357490}">
          <x15:cacheHierarchy aggregatedColumn="6"/>
        </ext>
      </extLst>
    </cacheHierarchy>
    <cacheHierarchy uniqueName="[Measures].[Average of Tenure]" caption="Average of Tenure" measure="1" displayFolder="" measureGroup="staff" count="0" hidden="1">
      <extLst>
        <ext xmlns:x15="http://schemas.microsoft.com/office/spreadsheetml/2010/11/main" uri="{B97F6D7D-B522-45F9-BDA1-12C45D357490}">
          <x15:cacheHierarchy aggregatedColumn="8"/>
        </ext>
      </extLst>
    </cacheHierarchy>
    <cacheHierarchy uniqueName="[Measures].[Sum of Bonus]" caption="Sum of Bonus" measure="1" displayFolder="" measureGroup="staff" count="0" oneField="1" hidden="1">
      <fieldsUsage count="1">
        <fieldUsage x="1"/>
      </fieldsUsage>
      <extLst>
        <ext xmlns:x15="http://schemas.microsoft.com/office/spreadsheetml/2010/11/main" uri="{B97F6D7D-B522-45F9-BDA1-12C45D357490}">
          <x15:cacheHierarchy aggregatedColumn="9"/>
        </ext>
      </extLst>
    </cacheHierarchy>
    <cacheHierarchy uniqueName="[Measures].[Max of Bonus]" caption="Max of Bonus" measure="1" displayFolder="" measureGroup="staff"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i yogi" refreshedDate="46132.49385648148" backgroundQuery="1" createdVersion="8" refreshedVersion="8" minRefreshableVersion="3" recordCount="0" supportSubquery="1" supportAdvancedDrill="1" xr:uid="{C6386BB2-279F-4FDD-9099-FAB13057B417}">
  <cacheSource type="external" connectionId="4"/>
  <cacheFields count="3">
    <cacheField name="[staff].[Rating].[Rating]" caption="Rating" numFmtId="0" hierarchy="3" level="1">
      <sharedItems count="5">
        <s v="Above average"/>
        <s v="Average"/>
        <s v="Exceptional"/>
        <s v="Poor"/>
        <s v="Very poor"/>
      </sharedItems>
    </cacheField>
    <cacheField name="[Measures].[Count of Name]" caption="Count of Name" numFmtId="0" hierarchy="17" level="32767"/>
    <cacheField name="[Measures].[Average of Salary]" caption="Average of Salary" numFmtId="0" hierarchy="22" level="32767"/>
  </cacheFields>
  <cacheHierarchies count="26">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Age]" caption="Age" attribute="1" defaultMemberUniqueName="[staff].[Age].[All]" allUniqueName="[staff].[Age].[All]" dimensionUniqueName="[staff]" displayFolder="" count="0" memberValueDatatype="20" unbalanced="0"/>
    <cacheHierarchy uniqueName="[staff].[Rating]" caption="Rating" attribute="1" defaultMemberUniqueName="[staff].[Rating].[All]" allUniqueName="[staff].[Rating].[All]" dimensionUniqueName="[staff]" displayFolder="" count="2" memberValueDatatype="130" unbalanced="0">
      <fieldsUsage count="2">
        <fieldUsage x="-1"/>
        <fieldUsage x="0"/>
      </fieldsUsage>
    </cacheHierarchy>
    <cacheHierarchy uniqueName="[staff].[Date Joined]" caption="Date Joined" attribute="1" time="1" defaultMemberUniqueName="[staff].[Date Joined].[All]" allUniqueName="[staff].[Date Joined].[All]" dimensionUniqueName="[staff]" displayFolder="" count="0" memberValueDatatype="7" unbalanced="0"/>
    <cacheHierarchy uniqueName="[staff].[Department]" caption="Department" attribute="1" defaultMemberUniqueName="[staff].[Department].[All]" allUniqueName="[staff].[Department].[All]" dimensionUniqueName="[staff]" displayFolder="" count="0" memberValueDatatype="130" unbalanced="0"/>
    <cacheHierarchy uniqueName="[staff].[Salary]" caption="Salary" attribute="1" defaultMemberUniqueName="[staff].[Salary].[All]" allUniqueName="[staff].[Salary].[All]" dimensionUniqueName="[staff]" displayFolder="" count="0" memberValueDatatype="20" unbalanced="0"/>
    <cacheHierarchy uniqueName="[staff].[Country]" caption="Country" attribute="1" defaultMemberUniqueName="[staff].[Country].[All]" allUniqueName="[staff].[Country].[All]" dimensionUniqueName="[staff]" displayFolder="" count="0" memberValueDatatype="130" unbalanced="0"/>
    <cacheHierarchy uniqueName="[staff].[Tenure]" caption="Tenure" attribute="1" defaultMemberUniqueName="[staff].[Tenure].[All]" allUniqueName="[staff].[Tenure].[All]" dimensionUniqueName="[staff]" displayFolder="" count="0" memberValueDatatype="5" unbalanced="0"/>
    <cacheHierarchy uniqueName="[staff].[Bonus]" caption="Bonus" attribute="1" defaultMemberUniqueName="[staff].[Bonus].[All]" allUniqueName="[staff].[Bonus].[All]" dimensionUniqueName="[staff]" displayFolder="" count="0" memberValueDatatype="20" unbalanced="0"/>
    <cacheHierarchy uniqueName="[staff].[Date Joined (Year)]" caption="Date Joined (Year)" attribute="1" defaultMemberUniqueName="[staff].[Date Joined (Year)].[All]" allUniqueName="[staff].[Date Joined (Year)].[All]" dimensionUniqueName="[staff]" displayFolder="" count="0" memberValueDatatype="130" unbalanced="0"/>
    <cacheHierarchy uniqueName="[staff].[Date Joined (Quarter)]" caption="Date Joined (Quarter)" attribute="1" defaultMemberUniqueName="[staff].[Date Joined (Quarter)].[All]" allUniqueName="[staff].[Date Joined (Quarter)].[All]" dimensionUniqueName="[staff]" displayFolder="" count="0" memberValueDatatype="130" unbalanced="0"/>
    <cacheHierarchy uniqueName="[staff].[Date Joined (Month)]" caption="Date Joined (Month)" attribute="1" defaultMemberUniqueName="[staff].[Date Joined (Month)].[All]" allUniqueName="[staff].[Date Joined (Month)].[All]" dimensionUniqueName="[staff]" displayFolder="" count="0" memberValueDatatype="130" unbalanced="0"/>
    <cacheHierarchy uniqueName="[staff].[Rating as Number]" caption="Rating as Number" attribute="1" defaultMemberUniqueName="[staff].[Rating as Number].[All]" allUniqueName="[staff].[Rating as Number].[All]" dimensionUniqueName="[staff]" displayFolder="" count="0" memberValueDatatype="20" unbalanced="0"/>
    <cacheHierarchy uniqueName="[staff].[Date Joined (Month Index)]" caption="Date Joined (Month Index)" attribute="1" defaultMemberUniqueName="[staff].[Date Joined (Month Index)].[All]" allUniqueName="[staff].[Date Joined (Month Index)].[All]" dimensionUniqueName="[staff]" displayFolder="" count="0" memberValueDatatype="20" unbalanced="0" hidden="1"/>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Name]" caption="Count of Name" measure="1" displayFolder="" measureGroup="staff"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taff"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staff" count="0" hidden="1">
      <extLst>
        <ext xmlns:x15="http://schemas.microsoft.com/office/spreadsheetml/2010/11/main" uri="{B97F6D7D-B522-45F9-BDA1-12C45D357490}">
          <x15:cacheHierarchy aggregatedColumn="6"/>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staff" count="0" oneField="1" hidden="1">
      <fieldsUsage count="1">
        <fieldUsage x="2"/>
      </fieldsUsage>
      <extLst>
        <ext xmlns:x15="http://schemas.microsoft.com/office/spreadsheetml/2010/11/main" uri="{B97F6D7D-B522-45F9-BDA1-12C45D357490}">
          <x15:cacheHierarchy aggregatedColumn="6"/>
        </ext>
      </extLst>
    </cacheHierarchy>
    <cacheHierarchy uniqueName="[Measures].[Average of Tenure]" caption="Average of Tenure" measure="1" displayFolder="" measureGroup="staff" count="0" hidden="1">
      <extLst>
        <ext xmlns:x15="http://schemas.microsoft.com/office/spreadsheetml/2010/11/main" uri="{B97F6D7D-B522-45F9-BDA1-12C45D357490}">
          <x15:cacheHierarchy aggregatedColumn="8"/>
        </ext>
      </extLst>
    </cacheHierarchy>
    <cacheHierarchy uniqueName="[Measures].[Sum of Bonus]" caption="Sum of Bonus" measure="1" displayFolder="" measureGroup="staff" count="0" hidden="1">
      <extLst>
        <ext xmlns:x15="http://schemas.microsoft.com/office/spreadsheetml/2010/11/main" uri="{B97F6D7D-B522-45F9-BDA1-12C45D357490}">
          <x15:cacheHierarchy aggregatedColumn="9"/>
        </ext>
      </extLst>
    </cacheHierarchy>
    <cacheHierarchy uniqueName="[Measures].[Max of Bonus]" caption="Max of Bonus" measure="1" displayFolder="" measureGroup="staff"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i yogi" refreshedDate="46132.495507638887" backgroundQuery="1" createdVersion="8" refreshedVersion="8" minRefreshableVersion="3" recordCount="0" supportSubquery="1" supportAdvancedDrill="1" xr:uid="{92728F6D-1BA1-4ACA-A20E-FA9FD2014A3D}">
  <cacheSource type="external" connectionId="4"/>
  <cacheFields count="3">
    <cacheField name="[staff].[Department].[Department]" caption="Department" numFmtId="0" hierarchy="5" level="1">
      <sharedItems count="5">
        <s v="Finance"/>
        <s v="HR"/>
        <s v="Procurement"/>
        <s v="Sales"/>
        <s v="Website"/>
      </sharedItems>
    </cacheField>
    <cacheField name="[staff].[Country].[Country]" caption="Country" numFmtId="0" hierarchy="7" level="1">
      <sharedItems containsSemiMixedTypes="0" containsNonDate="0" containsString="0"/>
    </cacheField>
    <cacheField name="[Measures].[Count of Name]" caption="Count of Name" numFmtId="0" hierarchy="17" level="32767"/>
  </cacheFields>
  <cacheHierarchies count="26">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Age]" caption="Age" attribute="1" defaultMemberUniqueName="[staff].[Age].[All]" allUniqueName="[staff].[Age].[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Date Joined]" caption="Date Joined" attribute="1" time="1" defaultMemberUniqueName="[staff].[Date Joined].[All]" allUniqueName="[staff].[Date Joined].[All]" dimensionUniqueName="[staff]" displayFolder="" count="0" memberValueDatatype="7" unbalanced="0"/>
    <cacheHierarchy uniqueName="[staff].[Department]" caption="Department" attribute="1" defaultMemberUniqueName="[staff].[Department].[All]" allUniqueName="[staff].[Department].[All]" dimensionUniqueName="[staff]" displayFolder="" count="2" memberValueDatatype="130" unbalanced="0">
      <fieldsUsage count="2">
        <fieldUsage x="-1"/>
        <fieldUsage x="0"/>
      </fieldsUsage>
    </cacheHierarchy>
    <cacheHierarchy uniqueName="[staff].[Salary]" caption="Salary" attribute="1" defaultMemberUniqueName="[staff].[Salary].[All]" allUniqueName="[staff].[Salary].[All]" dimensionUniqueName="[staff]" displayFolder="" count="0" memberValueDatatype="20" unbalanced="0"/>
    <cacheHierarchy uniqueName="[staff].[Country]" caption="Country" attribute="1" defaultMemberUniqueName="[staff].[Country].[All]" allUniqueName="[staff].[Country].[All]" dimensionUniqueName="[staff]" displayFolder="" count="2" memberValueDatatype="130" unbalanced="0">
      <fieldsUsage count="2">
        <fieldUsage x="-1"/>
        <fieldUsage x="1"/>
      </fieldsUsage>
    </cacheHierarchy>
    <cacheHierarchy uniqueName="[staff].[Tenure]" caption="Tenure" attribute="1" defaultMemberUniqueName="[staff].[Tenure].[All]" allUniqueName="[staff].[Tenure].[All]" dimensionUniqueName="[staff]" displayFolder="" count="0" memberValueDatatype="5" unbalanced="0"/>
    <cacheHierarchy uniqueName="[staff].[Bonus]" caption="Bonus" attribute="1" defaultMemberUniqueName="[staff].[Bonus].[All]" allUniqueName="[staff].[Bonus].[All]" dimensionUniqueName="[staff]" displayFolder="" count="0" memberValueDatatype="20" unbalanced="0"/>
    <cacheHierarchy uniqueName="[staff].[Date Joined (Year)]" caption="Date Joined (Year)" attribute="1" defaultMemberUniqueName="[staff].[Date Joined (Year)].[All]" allUniqueName="[staff].[Date Joined (Year)].[All]" dimensionUniqueName="[staff]" displayFolder="" count="0" memberValueDatatype="130" unbalanced="0"/>
    <cacheHierarchy uniqueName="[staff].[Date Joined (Quarter)]" caption="Date Joined (Quarter)" attribute="1" defaultMemberUniqueName="[staff].[Date Joined (Quarter)].[All]" allUniqueName="[staff].[Date Joined (Quarter)].[All]" dimensionUniqueName="[staff]" displayFolder="" count="0" memberValueDatatype="130" unbalanced="0"/>
    <cacheHierarchy uniqueName="[staff].[Date Joined (Month)]" caption="Date Joined (Month)" attribute="1" defaultMemberUniqueName="[staff].[Date Joined (Month)].[All]" allUniqueName="[staff].[Date Joined (Month)].[All]" dimensionUniqueName="[staff]" displayFolder="" count="0" memberValueDatatype="130" unbalanced="0"/>
    <cacheHierarchy uniqueName="[staff].[Rating as Number]" caption="Rating as Number" attribute="1" defaultMemberUniqueName="[staff].[Rating as Number].[All]" allUniqueName="[staff].[Rating as Number].[All]" dimensionUniqueName="[staff]" displayFolder="" count="0" memberValueDatatype="20" unbalanced="0"/>
    <cacheHierarchy uniqueName="[staff].[Date Joined (Month Index)]" caption="Date Joined (Month Index)" attribute="1" defaultMemberUniqueName="[staff].[Date Joined (Month Index)].[All]" allUniqueName="[staff].[Date Joined (Month Index)].[All]" dimensionUniqueName="[staff]" displayFolder="" count="0" memberValueDatatype="20" unbalanced="0" hidden="1"/>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Name]" caption="Count of Name" measure="1" displayFolder="" measureGroup="staff"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taff"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staff" count="0" hidden="1">
      <extLst>
        <ext xmlns:x15="http://schemas.microsoft.com/office/spreadsheetml/2010/11/main" uri="{B97F6D7D-B522-45F9-BDA1-12C45D357490}">
          <x15:cacheHierarchy aggregatedColumn="6"/>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staff" count="0" hidden="1">
      <extLst>
        <ext xmlns:x15="http://schemas.microsoft.com/office/spreadsheetml/2010/11/main" uri="{B97F6D7D-B522-45F9-BDA1-12C45D357490}">
          <x15:cacheHierarchy aggregatedColumn="6"/>
        </ext>
      </extLst>
    </cacheHierarchy>
    <cacheHierarchy uniqueName="[Measures].[Average of Tenure]" caption="Average of Tenure" measure="1" displayFolder="" measureGroup="staff" count="0" hidden="1">
      <extLst>
        <ext xmlns:x15="http://schemas.microsoft.com/office/spreadsheetml/2010/11/main" uri="{B97F6D7D-B522-45F9-BDA1-12C45D357490}">
          <x15:cacheHierarchy aggregatedColumn="8"/>
        </ext>
      </extLst>
    </cacheHierarchy>
    <cacheHierarchy uniqueName="[Measures].[Sum of Bonus]" caption="Sum of Bonus" measure="1" displayFolder="" measureGroup="staff" count="0" hidden="1">
      <extLst>
        <ext xmlns:x15="http://schemas.microsoft.com/office/spreadsheetml/2010/11/main" uri="{B97F6D7D-B522-45F9-BDA1-12C45D357490}">
          <x15:cacheHierarchy aggregatedColumn="9"/>
        </ext>
      </extLst>
    </cacheHierarchy>
    <cacheHierarchy uniqueName="[Measures].[Max of Bonus]" caption="Max of Bonus" measure="1" displayFolder="" measureGroup="staff"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i yogi" refreshedDate="46132.495594907406" backgroundQuery="1" createdVersion="8" refreshedVersion="8" minRefreshableVersion="3" recordCount="0" supportSubquery="1" supportAdvancedDrill="1" xr:uid="{9FEAEC98-F06F-4951-AF51-DAB6D5D58E0A}">
  <cacheSource type="external" connectionId="4"/>
  <cacheFields count="3">
    <cacheField name="[staff].[Department].[Department]" caption="Department" numFmtId="0" hierarchy="5" level="1">
      <sharedItems count="5">
        <s v="Finance"/>
        <s v="HR"/>
        <s v="Procurement"/>
        <s v="Sales"/>
        <s v="Website"/>
      </sharedItems>
    </cacheField>
    <cacheField name="[staff].[Country].[Country]" caption="Country" numFmtId="0" hierarchy="7" level="1">
      <sharedItems containsSemiMixedTypes="0" containsNonDate="0" containsString="0"/>
    </cacheField>
    <cacheField name="[Measures].[Count of Name]" caption="Count of Name" numFmtId="0" hierarchy="17" level="32767"/>
  </cacheFields>
  <cacheHierarchies count="26">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Age]" caption="Age" attribute="1" defaultMemberUniqueName="[staff].[Age].[All]" allUniqueName="[staff].[Age].[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Date Joined]" caption="Date Joined" attribute="1" time="1" defaultMemberUniqueName="[staff].[Date Joined].[All]" allUniqueName="[staff].[Date Joined].[All]" dimensionUniqueName="[staff]" displayFolder="" count="0" memberValueDatatype="7" unbalanced="0"/>
    <cacheHierarchy uniqueName="[staff].[Department]" caption="Department" attribute="1" defaultMemberUniqueName="[staff].[Department].[All]" allUniqueName="[staff].[Department].[All]" dimensionUniqueName="[staff]" displayFolder="" count="2" memberValueDatatype="130" unbalanced="0">
      <fieldsUsage count="2">
        <fieldUsage x="-1"/>
        <fieldUsage x="0"/>
      </fieldsUsage>
    </cacheHierarchy>
    <cacheHierarchy uniqueName="[staff].[Salary]" caption="Salary" attribute="1" defaultMemberUniqueName="[staff].[Salary].[All]" allUniqueName="[staff].[Salary].[All]" dimensionUniqueName="[staff]" displayFolder="" count="0" memberValueDatatype="20" unbalanced="0"/>
    <cacheHierarchy uniqueName="[staff].[Country]" caption="Country" attribute="1" defaultMemberUniqueName="[staff].[Country].[All]" allUniqueName="[staff].[Country].[All]" dimensionUniqueName="[staff]" displayFolder="" count="2" memberValueDatatype="130" unbalanced="0">
      <fieldsUsage count="2">
        <fieldUsage x="-1"/>
        <fieldUsage x="1"/>
      </fieldsUsage>
    </cacheHierarchy>
    <cacheHierarchy uniqueName="[staff].[Tenure]" caption="Tenure" attribute="1" defaultMemberUniqueName="[staff].[Tenure].[All]" allUniqueName="[staff].[Tenure].[All]" dimensionUniqueName="[staff]" displayFolder="" count="0" memberValueDatatype="5" unbalanced="0"/>
    <cacheHierarchy uniqueName="[staff].[Bonus]" caption="Bonus" attribute="1" defaultMemberUniqueName="[staff].[Bonus].[All]" allUniqueName="[staff].[Bonus].[All]" dimensionUniqueName="[staff]" displayFolder="" count="0" memberValueDatatype="20" unbalanced="0"/>
    <cacheHierarchy uniqueName="[staff].[Date Joined (Year)]" caption="Date Joined (Year)" attribute="1" defaultMemberUniqueName="[staff].[Date Joined (Year)].[All]" allUniqueName="[staff].[Date Joined (Year)].[All]" dimensionUniqueName="[staff]" displayFolder="" count="0" memberValueDatatype="130" unbalanced="0"/>
    <cacheHierarchy uniqueName="[staff].[Date Joined (Quarter)]" caption="Date Joined (Quarter)" attribute="1" defaultMemberUniqueName="[staff].[Date Joined (Quarter)].[All]" allUniqueName="[staff].[Date Joined (Quarter)].[All]" dimensionUniqueName="[staff]" displayFolder="" count="0" memberValueDatatype="130" unbalanced="0"/>
    <cacheHierarchy uniqueName="[staff].[Date Joined (Month)]" caption="Date Joined (Month)" attribute="1" defaultMemberUniqueName="[staff].[Date Joined (Month)].[All]" allUniqueName="[staff].[Date Joined (Month)].[All]" dimensionUniqueName="[staff]" displayFolder="" count="0" memberValueDatatype="130" unbalanced="0"/>
    <cacheHierarchy uniqueName="[staff].[Rating as Number]" caption="Rating as Number" attribute="1" defaultMemberUniqueName="[staff].[Rating as Number].[All]" allUniqueName="[staff].[Rating as Number].[All]" dimensionUniqueName="[staff]" displayFolder="" count="0" memberValueDatatype="20" unbalanced="0"/>
    <cacheHierarchy uniqueName="[staff].[Date Joined (Month Index)]" caption="Date Joined (Month Index)" attribute="1" defaultMemberUniqueName="[staff].[Date Joined (Month Index)].[All]" allUniqueName="[staff].[Date Joined (Month Index)].[All]" dimensionUniqueName="[staff]" displayFolder="" count="0" memberValueDatatype="20" unbalanced="0" hidden="1"/>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Name]" caption="Count of Name" measure="1" displayFolder="" measureGroup="staff"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taff"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staff" count="0" hidden="1">
      <extLst>
        <ext xmlns:x15="http://schemas.microsoft.com/office/spreadsheetml/2010/11/main" uri="{B97F6D7D-B522-45F9-BDA1-12C45D357490}">
          <x15:cacheHierarchy aggregatedColumn="6"/>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staff" count="0" hidden="1">
      <extLst>
        <ext xmlns:x15="http://schemas.microsoft.com/office/spreadsheetml/2010/11/main" uri="{B97F6D7D-B522-45F9-BDA1-12C45D357490}">
          <x15:cacheHierarchy aggregatedColumn="6"/>
        </ext>
      </extLst>
    </cacheHierarchy>
    <cacheHierarchy uniqueName="[Measures].[Average of Tenure]" caption="Average of Tenure" measure="1" displayFolder="" measureGroup="staff" count="0" hidden="1">
      <extLst>
        <ext xmlns:x15="http://schemas.microsoft.com/office/spreadsheetml/2010/11/main" uri="{B97F6D7D-B522-45F9-BDA1-12C45D357490}">
          <x15:cacheHierarchy aggregatedColumn="8"/>
        </ext>
      </extLst>
    </cacheHierarchy>
    <cacheHierarchy uniqueName="[Measures].[Sum of Bonus]" caption="Sum of Bonus" measure="1" displayFolder="" measureGroup="staff" count="0" hidden="1">
      <extLst>
        <ext xmlns:x15="http://schemas.microsoft.com/office/spreadsheetml/2010/11/main" uri="{B97F6D7D-B522-45F9-BDA1-12C45D357490}">
          <x15:cacheHierarchy aggregatedColumn="9"/>
        </ext>
      </extLst>
    </cacheHierarchy>
    <cacheHierarchy uniqueName="[Measures].[Max of Bonus]" caption="Max of Bonus" measure="1" displayFolder="" measureGroup="staff"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i yogi" refreshedDate="46132.493851388892" backgroundQuery="1" createdVersion="3" refreshedVersion="8" minRefreshableVersion="3" recordCount="0" supportSubquery="1" supportAdvancedDrill="1" xr:uid="{8619D0BA-5EC5-4170-B91D-A08A563BEE44}">
  <cacheSource type="external" connectionId="4">
    <extLst>
      <ext xmlns:x14="http://schemas.microsoft.com/office/spreadsheetml/2009/9/main" uri="{F057638F-6D5F-4e77-A914-E7F072B9BCA8}">
        <x14:sourceConnection name="ThisWorkbookDataModel"/>
      </ext>
    </extLst>
  </cacheSource>
  <cacheFields count="0"/>
  <cacheHierarchies count="26">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Age]" caption="Age" attribute="1" defaultMemberUniqueName="[staff].[Age].[All]" allUniqueName="[staff].[Age].[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Date Joined]" caption="Date Joined" attribute="1" time="1" defaultMemberUniqueName="[staff].[Date Joined].[All]" allUniqueName="[staff].[Date Joined].[All]" dimensionUniqueName="[staff]" displayFolder="" count="0" memberValueDatatype="7" unbalanced="0"/>
    <cacheHierarchy uniqueName="[staff].[Department]" caption="Department" attribute="1" defaultMemberUniqueName="[staff].[Department].[All]" allUniqueName="[staff].[Department].[All]" dimensionUniqueName="[staff]" displayFolder="" count="0" memberValueDatatype="130" unbalanced="0"/>
    <cacheHierarchy uniqueName="[staff].[Salary]" caption="Salary" attribute="1" defaultMemberUniqueName="[staff].[Salary].[All]" allUniqueName="[staff].[Salary].[All]" dimensionUniqueName="[staff]" displayFolder="" count="0" memberValueDatatype="20" unbalanced="0"/>
    <cacheHierarchy uniqueName="[staff].[Country]" caption="Country" attribute="1" defaultMemberUniqueName="[staff].[Country].[All]" allUniqueName="[staff].[Country].[All]" dimensionUniqueName="[staff]" displayFolder="" count="2" memberValueDatatype="130" unbalanced="0"/>
    <cacheHierarchy uniqueName="[staff].[Tenure]" caption="Tenure" attribute="1" defaultMemberUniqueName="[staff].[Tenure].[All]" allUniqueName="[staff].[Tenure].[All]" dimensionUniqueName="[staff]" displayFolder="" count="0" memberValueDatatype="5" unbalanced="0"/>
    <cacheHierarchy uniqueName="[staff].[Bonus]" caption="Bonus" attribute="1" defaultMemberUniqueName="[staff].[Bonus].[All]" allUniqueName="[staff].[Bonus].[All]" dimensionUniqueName="[staff]" displayFolder="" count="0" memberValueDatatype="20" unbalanced="0"/>
    <cacheHierarchy uniqueName="[staff].[Date Joined (Year)]" caption="Date Joined (Year)" attribute="1" defaultMemberUniqueName="[staff].[Date Joined (Year)].[All]" allUniqueName="[staff].[Date Joined (Year)].[All]" dimensionUniqueName="[staff]" displayFolder="" count="0" memberValueDatatype="130" unbalanced="0"/>
    <cacheHierarchy uniqueName="[staff].[Date Joined (Quarter)]" caption="Date Joined (Quarter)" attribute="1" defaultMemberUniqueName="[staff].[Date Joined (Quarter)].[All]" allUniqueName="[staff].[Date Joined (Quarter)].[All]" dimensionUniqueName="[staff]" displayFolder="" count="0" memberValueDatatype="130" unbalanced="0"/>
    <cacheHierarchy uniqueName="[staff].[Date Joined (Month)]" caption="Date Joined (Month)" attribute="1" defaultMemberUniqueName="[staff].[Date Joined (Month)].[All]" allUniqueName="[staff].[Date Joined (Month)].[All]" dimensionUniqueName="[staff]" displayFolder="" count="0" memberValueDatatype="130" unbalanced="0"/>
    <cacheHierarchy uniqueName="[staff].[Rating as Number]" caption="Rating as Number" attribute="1" defaultMemberUniqueName="[staff].[Rating as Number].[All]" allUniqueName="[staff].[Rating as Number].[All]" dimensionUniqueName="[staff]" displayFolder="" count="0" memberValueDatatype="20" unbalanced="0"/>
    <cacheHierarchy uniqueName="[staff].[Date Joined (Month Index)]" caption="Date Joined (Month Index)" attribute="1" defaultMemberUniqueName="[staff].[Date Joined (Month Index)].[All]" allUniqueName="[staff].[Date Joined (Month Index)].[All]" dimensionUniqueName="[staff]" displayFolder="" count="0" memberValueDatatype="20" unbalanced="0" hidden="1"/>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Name]" caption="Count of Name" measure="1" displayFolder="" measureGroup="staff"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taff"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staff" count="0" hidden="1">
      <extLst>
        <ext xmlns:x15="http://schemas.microsoft.com/office/spreadsheetml/2010/11/main" uri="{B97F6D7D-B522-45F9-BDA1-12C45D357490}">
          <x15:cacheHierarchy aggregatedColumn="6"/>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staff" count="0" hidden="1">
      <extLst>
        <ext xmlns:x15="http://schemas.microsoft.com/office/spreadsheetml/2010/11/main" uri="{B97F6D7D-B522-45F9-BDA1-12C45D357490}">
          <x15:cacheHierarchy aggregatedColumn="6"/>
        </ext>
      </extLst>
    </cacheHierarchy>
    <cacheHierarchy uniqueName="[Measures].[Average of Tenure]" caption="Average of Tenure" measure="1" displayFolder="" measureGroup="staff" count="0" hidden="1">
      <extLst>
        <ext xmlns:x15="http://schemas.microsoft.com/office/spreadsheetml/2010/11/main" uri="{B97F6D7D-B522-45F9-BDA1-12C45D357490}">
          <x15:cacheHierarchy aggregatedColumn="8"/>
        </ext>
      </extLst>
    </cacheHierarchy>
    <cacheHierarchy uniqueName="[Measures].[Sum of Bonus]" caption="Sum of Bonus" measure="1" displayFolder="" measureGroup="staff" count="0" hidden="1">
      <extLst>
        <ext xmlns:x15="http://schemas.microsoft.com/office/spreadsheetml/2010/11/main" uri="{B97F6D7D-B522-45F9-BDA1-12C45D357490}">
          <x15:cacheHierarchy aggregatedColumn="9"/>
        </ext>
      </extLst>
    </cacheHierarchy>
    <cacheHierarchy uniqueName="[Measures].[Max of Bonus]" caption="Max of Bonus" measure="1" displayFolder="" measureGroup="staff"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9162843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ADB077-05AA-4859-A153-864F63653D2F}" name="PivotTable1" cacheId="1" dataOnRows="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B6:D11" firstHeaderRow="1" firstDataRow="2" firstDataCol="1"/>
  <pivotFields count="6">
    <pivotField axis="axisCol" allDrilled="1" subtotalTop="0" showAll="0" dataSourceSort="1" defaultSubtotal="0" defaultAttributeDrillState="1">
      <items count="2">
        <item s="1" x="0"/>
        <item s="1" x="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i>
    <i i="1">
      <x v="1"/>
    </i>
    <i i="2">
      <x v="2"/>
    </i>
    <i i="3">
      <x v="3"/>
    </i>
  </rowItems>
  <colFields count="1">
    <field x="0"/>
  </colFields>
  <colItems count="2">
    <i>
      <x/>
    </i>
    <i>
      <x v="1"/>
    </i>
  </colItems>
  <dataFields count="4">
    <dataField name="Count of Name" fld="1" subtotal="count" baseField="0" baseItem="0"/>
    <dataField name="Average of Age" fld="2" subtotal="average" baseField="0" baseItem="0" numFmtId="166"/>
    <dataField name="Average of Salary" fld="3" subtotal="average" baseField="0" baseItem="0" numFmtId="167"/>
    <dataField name="Average of Tenure" fld="4" subtotal="average" baseField="0" baseItem="0" numFmtId="166"/>
  </dataFields>
  <pivotHierarchies count="26">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staff">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F49029-677A-4D5A-8D93-37532B252953}"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6:C17"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6"/>
    </i>
    <i>
      <x v="5"/>
    </i>
    <i>
      <x v="7"/>
    </i>
    <i>
      <x v="4"/>
    </i>
    <i>
      <x v="9"/>
    </i>
    <i>
      <x v="3"/>
    </i>
    <i>
      <x v="8"/>
    </i>
    <i>
      <x/>
    </i>
    <i>
      <x v="2"/>
    </i>
    <i t="grand">
      <x/>
    </i>
  </rowItems>
  <colItems count="1">
    <i/>
  </colItems>
  <dataFields count="1">
    <dataField name="Sum of Bonus" fld="1" baseField="0" baseItem="0" numFmtId="167"/>
  </dataFields>
  <formats count="2">
    <format dxfId="3">
      <pivotArea outline="0" collapsedLevelsAreSubtotals="1" fieldPosition="0"/>
    </format>
    <format dxfId="2">
      <pivotArea dataOnly="0" labelOnly="1" outline="0" axis="axisValues" fieldPosition="0"/>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staff">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B4790F-4E8D-4B82-9F34-544729FAEFB4}" name="PivotTable2"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3:D9" firstHeaderRow="0" firstDataRow="1" firstDataCol="1"/>
  <pivotFields count="3">
    <pivotField axis="axisRow" allDrilled="1" subtotalTop="0" showAll="0" defaultSubtotal="0" defaultAttributeDrillState="1">
      <items count="5">
        <item x="2"/>
        <item x="0"/>
        <item x="1"/>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Count of Name" fld="1" subtotal="count" baseField="0" baseItem="0"/>
    <dataField name="Average of Salary" fld="2" subtotal="average" baseField="0" baseItem="0"/>
  </dataFields>
  <formats count="1">
    <format dxfId="1">
      <pivotArea dataOnly="0" outline="0" fieldPosition="0">
        <references count="1">
          <reference field="4294967294" count="1">
            <x v="1"/>
          </reference>
        </references>
      </pivotArea>
    </format>
  </format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93EFCB-5A41-423D-88CF-46D1BB3F7AA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C39"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4">
        <item x="0"/>
        <item x="1"/>
        <item x="2"/>
        <item x="3"/>
      </items>
    </pivotField>
    <pivotField dataField="1" subtotalTop="0" showAll="0" defaultSubtotal="0"/>
  </pivotFields>
  <rowFields count="2">
    <field x="1"/>
    <field x="0"/>
  </rowFields>
  <rowItems count="37">
    <i>
      <x/>
    </i>
    <i r="1">
      <x/>
    </i>
    <i r="1">
      <x v="1"/>
    </i>
    <i r="1">
      <x v="2"/>
    </i>
    <i r="1">
      <x v="3"/>
    </i>
    <i r="1">
      <x v="4"/>
    </i>
    <i r="1">
      <x v="5"/>
    </i>
    <i r="1">
      <x v="6"/>
    </i>
    <i r="1">
      <x v="7"/>
    </i>
    <i>
      <x v="1"/>
    </i>
    <i r="1">
      <x v="8"/>
    </i>
    <i r="1">
      <x v="9"/>
    </i>
    <i r="1">
      <x v="10"/>
    </i>
    <i r="1">
      <x v="11"/>
    </i>
    <i r="1">
      <x/>
    </i>
    <i r="1">
      <x v="1"/>
    </i>
    <i r="1">
      <x v="2"/>
    </i>
    <i r="1">
      <x v="3"/>
    </i>
    <i r="1">
      <x v="4"/>
    </i>
    <i r="1">
      <x v="5"/>
    </i>
    <i r="1">
      <x v="6"/>
    </i>
    <i r="1">
      <x v="7"/>
    </i>
    <i>
      <x v="2"/>
    </i>
    <i r="1">
      <x v="8"/>
    </i>
    <i r="1">
      <x v="9"/>
    </i>
    <i r="1">
      <x v="10"/>
    </i>
    <i r="1">
      <x v="11"/>
    </i>
    <i r="1">
      <x/>
    </i>
    <i r="1">
      <x v="1"/>
    </i>
    <i r="1">
      <x v="2"/>
    </i>
    <i r="1">
      <x v="3"/>
    </i>
    <i r="1">
      <x v="4"/>
    </i>
    <i r="1">
      <x v="5"/>
    </i>
    <i>
      <x v="3"/>
    </i>
    <i r="1">
      <x v="9"/>
    </i>
    <i r="1">
      <x v="11"/>
    </i>
    <i t="grand">
      <x/>
    </i>
  </rowItems>
  <colItems count="1">
    <i/>
  </colItems>
  <dataFields count="1">
    <dataField name="Count of Name" fld="2" subtotal="count" showDataAs="runTotal" baseField="0" baseItem="0"/>
  </dataFields>
  <chartFormats count="1">
    <chartFormat chart="1"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B9032B-6594-492F-A0D5-2C55884FAABF}"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3:G9" firstHeaderRow="1" firstDataRow="1" firstDataCol="1" rowPageCount="1" colPageCount="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s>
  <rowFields count="1">
    <field x="0"/>
  </rowFields>
  <rowItems count="6">
    <i>
      <x v="4"/>
    </i>
    <i>
      <x v="2"/>
    </i>
    <i>
      <x/>
    </i>
    <i>
      <x v="3"/>
    </i>
    <i>
      <x v="1"/>
    </i>
    <i t="grand">
      <x/>
    </i>
  </rowItems>
  <colItems count="1">
    <i/>
  </colItems>
  <pageFields count="1">
    <pageField fld="1" hier="7" name="[staff].[Country].&amp;[NZ]" cap="NZ"/>
  </pageFields>
  <dataFields count="1">
    <dataField name="Count of Name" fld="2"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9A016A-768C-456C-89FC-50BFFE16BFB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C9" firstHeaderRow="1" firstDataRow="1" firstDataCol="1" rowPageCount="1" colPageCount="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s>
  <rowFields count="1">
    <field x="0"/>
  </rowFields>
  <rowItems count="6">
    <i>
      <x v="2"/>
    </i>
    <i>
      <x v="4"/>
    </i>
    <i>
      <x/>
    </i>
    <i>
      <x v="3"/>
    </i>
    <i>
      <x v="1"/>
    </i>
    <i t="grand">
      <x/>
    </i>
  </rowItems>
  <colItems count="1">
    <i/>
  </colItems>
  <pageFields count="1">
    <pageField fld="1" hier="7" name="[staff].[Country].&amp;[India]" cap="India"/>
  </pageFields>
  <dataFields count="1">
    <dataField name="Count of Name" fld="2"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EE881C3-970A-4EDE-8B55-C4D008643D6B}" sourceName="[staff].[Country]">
  <pivotTables>
    <pivotTable tabId="6" name="PivotTable1"/>
  </pivotTables>
  <data>
    <olap pivotCacheId="916284315">
      <levels count="2">
        <level uniqueName="[staff].[Country].[(All)]" sourceCaption="(All)" count="0"/>
        <level uniqueName="[staff].[Country].[Country]" sourceCaption="Country" count="2">
          <ranges>
            <range startItem="0">
              <i n="[staff].[Country].&amp;[India]" c="India"/>
              <i n="[staff].[Country].&amp;[NZ]" c="NZ"/>
            </range>
          </ranges>
        </level>
      </levels>
      <selections count="1">
        <selection n="[staff].[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201744E-876F-4DDF-9FC5-C433FD6D2331}" cache="Slicer_Country" caption="Countr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6E0CE4-27CD-4078-9D65-9AA74BC5A8D8}" name="NZ_staff" displayName="NZ_staff" ref="C5:I106" totalsRowCount="1">
  <autoFilter ref="C5:I105" xr:uid="{866E0CE4-27CD-4078-9D65-9AA74BC5A8D8}"/>
  <tableColumns count="7">
    <tableColumn id="1" xr3:uid="{69C8ED10-DAD3-4020-A076-531C9B56817F}" name="Name" totalsRowLabel="Total"/>
    <tableColumn id="2" xr3:uid="{BCBD916A-48AA-4958-825C-7A3D4BECDC92}" name="Gender"/>
    <tableColumn id="3" xr3:uid="{28EA668A-24BE-4119-92F9-E5ED91E3A59E}" name="Department"/>
    <tableColumn id="4" xr3:uid="{AA53F605-A0A9-4F7A-A026-D9B9FCF5A93F}" name="Age" totalsRowFunction="average"/>
    <tableColumn id="5" xr3:uid="{A531AD79-6427-44F3-B0A2-43290B036897}" name="Date Joined"/>
    <tableColumn id="6" xr3:uid="{65FE85F1-D171-49F6-B74C-E9B56B144F83}" name="Salary" totalsRowFunction="average" dataDxfId="14" totalsRowDxfId="13"/>
    <tableColumn id="7" xr3:uid="{B9A3D1F4-B243-4D78-88BE-C04810263058}" name="Rating" totalsRowFunction="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BC88B2-83D4-4E51-863F-16E2BA343AA5}" name="India_staff" displayName="India_staff" ref="B2:H114" totalsRowShown="0">
  <autoFilter ref="B2:H114" xr:uid="{5FBC88B2-83D4-4E51-863F-16E2BA343AA5}"/>
  <tableColumns count="7">
    <tableColumn id="1" xr3:uid="{78749165-3FAF-4FA6-9190-6679A07C6787}" name="Name"/>
    <tableColumn id="2" xr3:uid="{30A9873A-7D89-4070-BD94-361EF8E22DC8}" name="Gender"/>
    <tableColumn id="3" xr3:uid="{6D658B14-60E8-4CF1-AAB1-0817078CB400}" name="Age"/>
    <tableColumn id="4" xr3:uid="{CABAF0D4-45EF-4226-8E6F-4FA085715911}" name="Rating"/>
    <tableColumn id="5" xr3:uid="{B0296940-0532-4CCF-A236-04C4A7911DCC}" name="Date Joined" dataDxfId="12"/>
    <tableColumn id="6" xr3:uid="{505B6D8A-411A-417A-B11B-D9FB97D084D1}" name="Department"/>
    <tableColumn id="7" xr3:uid="{9817234B-0F12-48E8-8FDE-339BB865B5F6}" name="Salary"/>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EF2A191-BCEB-4271-935F-EAB2139D32A0}" name="staff" displayName="staff" ref="A1:K184" totalsRowShown="0">
  <autoFilter ref="A1:K184" xr:uid="{CEF2A191-BCEB-4271-935F-EAB2139D32A0}"/>
  <sortState xmlns:xlrd2="http://schemas.microsoft.com/office/spreadsheetml/2017/richdata2" ref="A2:J184">
    <sortCondition ref="G1:G184"/>
  </sortState>
  <tableColumns count="11">
    <tableColumn id="1" xr3:uid="{CC49FA54-C338-43AB-861F-8E2D2DDA1331}" name="Name" dataDxfId="11"/>
    <tableColumn id="2" xr3:uid="{13441C02-B887-4C17-8449-1ED174A15FEA}" name="Gender" dataDxfId="10"/>
    <tableColumn id="3" xr3:uid="{E8B6F60D-EAC2-4C1A-95E5-260AD6FEFCE9}" name="Age"/>
    <tableColumn id="4" xr3:uid="{0069DA3A-4CF4-4BA7-B9DD-0E4EFBF00AC7}" name="Rating"/>
    <tableColumn id="5" xr3:uid="{234B9299-FD27-4BB5-A9F8-BC7205546BF8}" name="Date Joined" dataDxfId="9"/>
    <tableColumn id="6" xr3:uid="{82477651-47D3-4E0F-8D7D-B3DDF7EF55C5}" name="Department" dataDxfId="8"/>
    <tableColumn id="7" xr3:uid="{A99DA6CF-4731-4D2C-AE35-58F6C97322C1}" name="Salary" dataDxfId="7"/>
    <tableColumn id="8" xr3:uid="{999CBE36-68DB-4D87-9D10-E7444C15BE12}" name="Country"/>
    <tableColumn id="9" xr3:uid="{EA785D1B-0854-4BDD-B387-6A61D21001DB}" name="Tenure" dataDxfId="6">
      <calculatedColumnFormula>(TODAY()-staff[[#This Row],[Date Joined]])/365</calculatedColumnFormula>
    </tableColumn>
    <tableColumn id="12" xr3:uid="{13B69834-A3AA-4440-A2A8-E3AEFBAEACD9}" name="Bonus" dataDxfId="5">
      <calculatedColumnFormula>ROUNDUP(IF(staff[[#This Row],[Tenure]]&gt;3,3%,2%)*staff[[#This Row],[Salary]],0)</calculatedColumnFormula>
    </tableColumn>
    <tableColumn id="10" xr3:uid="{3BA0C8E8-10B6-49D1-BD55-F3FFD46DECB9}" name="Rating as Number" dataDxfId="4">
      <calculatedColumnFormula>_xlfn.XLOOKUP(staff[[#This Row],[Rating]],Analysis!$B$2:$B$6,Analysis!$C$2:$C$6)</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I106"/>
  <sheetViews>
    <sheetView showGridLines="0" workbookViewId="0">
      <selection activeCell="E10" sqref="E10"/>
    </sheetView>
  </sheetViews>
  <sheetFormatPr defaultRowHeight="14.5" x14ac:dyDescent="0.35"/>
  <cols>
    <col min="1" max="1" width="1.7265625" customWidth="1"/>
    <col min="2" max="2" width="3.7265625" customWidth="1"/>
    <col min="3" max="3" width="20.54296875" customWidth="1"/>
    <col min="4" max="4" width="9.26953125" bestFit="1" customWidth="1"/>
    <col min="5" max="5" width="13.36328125" bestFit="1" customWidth="1"/>
    <col min="6" max="6" width="6.1796875" bestFit="1" customWidth="1"/>
    <col min="7" max="7" width="12.90625" bestFit="1" customWidth="1"/>
    <col min="8" max="8" width="11.7265625" bestFit="1" customWidth="1"/>
    <col min="9" max="9" width="13.1796875" bestFit="1" customWidth="1"/>
  </cols>
  <sheetData>
    <row r="1" spans="1:9" s="2" customFormat="1" ht="52.5" customHeight="1" x14ac:dyDescent="0.35">
      <c r="A1" s="1"/>
      <c r="C1" s="3" t="s">
        <v>110</v>
      </c>
    </row>
    <row r="5" spans="1:9" x14ac:dyDescent="0.35">
      <c r="C5" t="s">
        <v>0</v>
      </c>
      <c r="D5" t="s">
        <v>1</v>
      </c>
      <c r="E5" t="s">
        <v>2</v>
      </c>
      <c r="F5" t="s">
        <v>3</v>
      </c>
      <c r="G5" s="4" t="s">
        <v>4</v>
      </c>
      <c r="H5" s="5" t="s">
        <v>5</v>
      </c>
      <c r="I5" t="s">
        <v>6</v>
      </c>
    </row>
    <row r="6" spans="1:9" x14ac:dyDescent="0.35">
      <c r="C6" t="s">
        <v>58</v>
      </c>
      <c r="D6" t="s">
        <v>15</v>
      </c>
      <c r="E6" t="s">
        <v>19</v>
      </c>
      <c r="F6">
        <v>22</v>
      </c>
      <c r="G6" s="4">
        <v>44446</v>
      </c>
      <c r="H6" s="5">
        <v>112780</v>
      </c>
      <c r="I6" t="s">
        <v>13</v>
      </c>
    </row>
    <row r="7" spans="1:9" x14ac:dyDescent="0.35">
      <c r="C7" t="s">
        <v>70</v>
      </c>
      <c r="D7" t="s">
        <v>15</v>
      </c>
      <c r="E7" t="s">
        <v>9</v>
      </c>
      <c r="F7">
        <v>46</v>
      </c>
      <c r="G7" s="4">
        <v>44758</v>
      </c>
      <c r="H7" s="5">
        <v>70610</v>
      </c>
      <c r="I7" t="s">
        <v>16</v>
      </c>
    </row>
    <row r="8" spans="1:9" x14ac:dyDescent="0.35">
      <c r="C8" t="s">
        <v>75</v>
      </c>
      <c r="D8" t="s">
        <v>8</v>
      </c>
      <c r="E8" t="s">
        <v>19</v>
      </c>
      <c r="F8">
        <v>28</v>
      </c>
      <c r="G8" s="4">
        <v>44357</v>
      </c>
      <c r="H8" s="5">
        <v>53240</v>
      </c>
      <c r="I8" t="s">
        <v>16</v>
      </c>
    </row>
    <row r="9" spans="1:9" x14ac:dyDescent="0.35">
      <c r="C9" t="s">
        <v>49</v>
      </c>
      <c r="E9" t="s">
        <v>21</v>
      </c>
      <c r="F9">
        <v>37</v>
      </c>
      <c r="G9" s="4">
        <v>44146</v>
      </c>
      <c r="H9" s="5">
        <v>115440</v>
      </c>
      <c r="I9" t="s">
        <v>24</v>
      </c>
    </row>
    <row r="10" spans="1:9" x14ac:dyDescent="0.35">
      <c r="C10" t="s">
        <v>65</v>
      </c>
      <c r="D10" t="s">
        <v>15</v>
      </c>
      <c r="E10" t="s">
        <v>19</v>
      </c>
      <c r="F10">
        <v>32</v>
      </c>
      <c r="G10" s="4">
        <v>44465</v>
      </c>
      <c r="H10" s="5">
        <v>53540</v>
      </c>
      <c r="I10" t="s">
        <v>16</v>
      </c>
    </row>
    <row r="11" spans="1:9" x14ac:dyDescent="0.35">
      <c r="C11" t="s">
        <v>81</v>
      </c>
      <c r="D11" t="s">
        <v>8</v>
      </c>
      <c r="E11" t="s">
        <v>9</v>
      </c>
      <c r="F11">
        <v>30</v>
      </c>
      <c r="G11" s="4">
        <v>44861</v>
      </c>
      <c r="H11" s="5">
        <v>112570</v>
      </c>
      <c r="I11" t="s">
        <v>16</v>
      </c>
    </row>
    <row r="12" spans="1:9" x14ac:dyDescent="0.35">
      <c r="C12" t="s">
        <v>51</v>
      </c>
      <c r="D12" t="s">
        <v>15</v>
      </c>
      <c r="E12" t="s">
        <v>9</v>
      </c>
      <c r="F12">
        <v>33</v>
      </c>
      <c r="G12" s="4">
        <v>44701</v>
      </c>
      <c r="H12" s="5">
        <v>48530</v>
      </c>
      <c r="I12" t="s">
        <v>13</v>
      </c>
    </row>
    <row r="13" spans="1:9" x14ac:dyDescent="0.35">
      <c r="C13" t="s">
        <v>61</v>
      </c>
      <c r="D13" t="s">
        <v>8</v>
      </c>
      <c r="E13" t="s">
        <v>12</v>
      </c>
      <c r="F13">
        <v>24</v>
      </c>
      <c r="G13" s="4">
        <v>44148</v>
      </c>
      <c r="H13" s="5">
        <v>62780</v>
      </c>
      <c r="I13" t="s">
        <v>16</v>
      </c>
    </row>
    <row r="14" spans="1:9" x14ac:dyDescent="0.35">
      <c r="C14" t="s">
        <v>82</v>
      </c>
      <c r="D14" t="s">
        <v>15</v>
      </c>
      <c r="E14" t="s">
        <v>12</v>
      </c>
      <c r="F14">
        <v>33</v>
      </c>
      <c r="G14" s="4">
        <v>44509</v>
      </c>
      <c r="H14" s="5">
        <v>53870</v>
      </c>
      <c r="I14" t="s">
        <v>16</v>
      </c>
    </row>
    <row r="15" spans="1:9" x14ac:dyDescent="0.35">
      <c r="C15" t="s">
        <v>60</v>
      </c>
      <c r="D15" t="s">
        <v>8</v>
      </c>
      <c r="E15" t="s">
        <v>56</v>
      </c>
      <c r="F15">
        <v>27</v>
      </c>
      <c r="G15" s="4">
        <v>44122</v>
      </c>
      <c r="H15" s="5">
        <v>119110</v>
      </c>
      <c r="I15" t="s">
        <v>16</v>
      </c>
    </row>
    <row r="16" spans="1:9" x14ac:dyDescent="0.35">
      <c r="C16" t="s">
        <v>87</v>
      </c>
      <c r="D16" t="s">
        <v>15</v>
      </c>
      <c r="E16" t="s">
        <v>12</v>
      </c>
      <c r="F16">
        <v>29</v>
      </c>
      <c r="G16" s="4">
        <v>44180</v>
      </c>
      <c r="H16" s="5">
        <v>112110</v>
      </c>
      <c r="I16" t="s">
        <v>24</v>
      </c>
    </row>
    <row r="17" spans="3:9" x14ac:dyDescent="0.35">
      <c r="C17" t="s">
        <v>76</v>
      </c>
      <c r="D17" t="s">
        <v>15</v>
      </c>
      <c r="E17" t="s">
        <v>19</v>
      </c>
      <c r="F17">
        <v>25</v>
      </c>
      <c r="G17" s="4">
        <v>44383</v>
      </c>
      <c r="H17" s="5">
        <v>65700</v>
      </c>
      <c r="I17" t="s">
        <v>16</v>
      </c>
    </row>
    <row r="18" spans="3:9" x14ac:dyDescent="0.35">
      <c r="C18" t="s">
        <v>97</v>
      </c>
      <c r="D18" t="s">
        <v>15</v>
      </c>
      <c r="E18" t="s">
        <v>12</v>
      </c>
      <c r="F18">
        <v>37</v>
      </c>
      <c r="G18" s="4">
        <v>44701</v>
      </c>
      <c r="H18" s="5">
        <v>69070</v>
      </c>
      <c r="I18" t="s">
        <v>16</v>
      </c>
    </row>
    <row r="19" spans="3:9" x14ac:dyDescent="0.35">
      <c r="C19" t="s">
        <v>22</v>
      </c>
      <c r="D19" t="s">
        <v>15</v>
      </c>
      <c r="E19" t="s">
        <v>12</v>
      </c>
      <c r="F19">
        <v>20</v>
      </c>
      <c r="G19" s="4">
        <v>44459</v>
      </c>
      <c r="H19" s="5">
        <v>107700</v>
      </c>
      <c r="I19" t="s">
        <v>16</v>
      </c>
    </row>
    <row r="20" spans="3:9" x14ac:dyDescent="0.35">
      <c r="C20" t="s">
        <v>84</v>
      </c>
      <c r="D20" t="s">
        <v>8</v>
      </c>
      <c r="E20" t="s">
        <v>12</v>
      </c>
      <c r="F20">
        <v>32</v>
      </c>
      <c r="G20" s="4">
        <v>44354</v>
      </c>
      <c r="H20" s="5">
        <v>43840</v>
      </c>
      <c r="I20" t="s">
        <v>13</v>
      </c>
    </row>
    <row r="21" spans="3:9" x14ac:dyDescent="0.35">
      <c r="C21" t="s">
        <v>105</v>
      </c>
      <c r="D21" t="s">
        <v>15</v>
      </c>
      <c r="E21" t="s">
        <v>9</v>
      </c>
      <c r="F21">
        <v>40</v>
      </c>
      <c r="G21" s="4">
        <v>44263</v>
      </c>
      <c r="H21" s="5">
        <v>99750</v>
      </c>
      <c r="I21" t="s">
        <v>16</v>
      </c>
    </row>
    <row r="22" spans="3:9" x14ac:dyDescent="0.35">
      <c r="C22" t="s">
        <v>47</v>
      </c>
      <c r="D22" t="s">
        <v>15</v>
      </c>
      <c r="E22" t="s">
        <v>9</v>
      </c>
      <c r="F22">
        <v>21</v>
      </c>
      <c r="G22" s="4">
        <v>44104</v>
      </c>
      <c r="H22" s="5">
        <v>37920</v>
      </c>
      <c r="I22" t="s">
        <v>16</v>
      </c>
    </row>
    <row r="23" spans="3:9" x14ac:dyDescent="0.35">
      <c r="C23" t="s">
        <v>31</v>
      </c>
      <c r="D23" t="s">
        <v>15</v>
      </c>
      <c r="E23" t="s">
        <v>9</v>
      </c>
      <c r="F23">
        <v>21</v>
      </c>
      <c r="G23" s="4">
        <v>44762</v>
      </c>
      <c r="H23" s="5">
        <v>57090</v>
      </c>
      <c r="I23" t="s">
        <v>16</v>
      </c>
    </row>
    <row r="24" spans="3:9" x14ac:dyDescent="0.35">
      <c r="C24" t="s">
        <v>30</v>
      </c>
      <c r="D24" t="s">
        <v>8</v>
      </c>
      <c r="E24" t="s">
        <v>12</v>
      </c>
      <c r="F24">
        <v>31</v>
      </c>
      <c r="G24" s="4">
        <v>44145</v>
      </c>
      <c r="H24" s="5">
        <v>41980</v>
      </c>
      <c r="I24" t="s">
        <v>16</v>
      </c>
    </row>
    <row r="25" spans="3:9" x14ac:dyDescent="0.35">
      <c r="C25" t="s">
        <v>78</v>
      </c>
      <c r="D25" t="s">
        <v>15</v>
      </c>
      <c r="E25" t="s">
        <v>56</v>
      </c>
      <c r="F25">
        <v>21</v>
      </c>
      <c r="G25" s="4">
        <v>44242</v>
      </c>
      <c r="H25" s="5">
        <v>75880</v>
      </c>
      <c r="I25" t="s">
        <v>16</v>
      </c>
    </row>
    <row r="26" spans="3:9" x14ac:dyDescent="0.35">
      <c r="C26" t="s">
        <v>36</v>
      </c>
      <c r="D26" t="s">
        <v>8</v>
      </c>
      <c r="E26" t="s">
        <v>21</v>
      </c>
      <c r="F26">
        <v>34</v>
      </c>
      <c r="G26" s="4">
        <v>44653</v>
      </c>
      <c r="H26" s="5">
        <v>58940</v>
      </c>
      <c r="I26" t="s">
        <v>16</v>
      </c>
    </row>
    <row r="27" spans="3:9" x14ac:dyDescent="0.35">
      <c r="C27" t="s">
        <v>27</v>
      </c>
      <c r="D27" t="s">
        <v>8</v>
      </c>
      <c r="E27" t="s">
        <v>21</v>
      </c>
      <c r="F27">
        <v>30</v>
      </c>
      <c r="G27" s="4">
        <v>44389</v>
      </c>
      <c r="H27" s="5">
        <v>67910</v>
      </c>
      <c r="I27" t="s">
        <v>24</v>
      </c>
    </row>
    <row r="28" spans="3:9" x14ac:dyDescent="0.35">
      <c r="C28" t="s">
        <v>26</v>
      </c>
      <c r="D28" t="s">
        <v>8</v>
      </c>
      <c r="E28" t="s">
        <v>12</v>
      </c>
      <c r="F28">
        <v>31</v>
      </c>
      <c r="G28" s="4">
        <v>44663</v>
      </c>
      <c r="H28" s="5">
        <v>58100</v>
      </c>
      <c r="I28" t="s">
        <v>16</v>
      </c>
    </row>
    <row r="29" spans="3:9" x14ac:dyDescent="0.35">
      <c r="C29" t="s">
        <v>53</v>
      </c>
      <c r="D29" t="s">
        <v>15</v>
      </c>
      <c r="E29" t="s">
        <v>21</v>
      </c>
      <c r="F29">
        <v>27</v>
      </c>
      <c r="G29" s="4">
        <v>44567</v>
      </c>
      <c r="H29" s="5">
        <v>48980</v>
      </c>
      <c r="I29" t="s">
        <v>16</v>
      </c>
    </row>
    <row r="30" spans="3:9" x14ac:dyDescent="0.35">
      <c r="C30" t="s">
        <v>20</v>
      </c>
      <c r="E30" t="s">
        <v>21</v>
      </c>
      <c r="F30">
        <v>30</v>
      </c>
      <c r="G30" s="4">
        <v>44597</v>
      </c>
      <c r="H30" s="5">
        <v>64000</v>
      </c>
      <c r="I30" t="s">
        <v>16</v>
      </c>
    </row>
    <row r="31" spans="3:9" x14ac:dyDescent="0.35">
      <c r="C31" t="s">
        <v>7</v>
      </c>
      <c r="D31" t="s">
        <v>8</v>
      </c>
      <c r="E31" t="s">
        <v>9</v>
      </c>
      <c r="F31">
        <v>42</v>
      </c>
      <c r="G31" s="4">
        <v>44779</v>
      </c>
      <c r="H31" s="5">
        <v>75000</v>
      </c>
      <c r="I31" t="s">
        <v>10</v>
      </c>
    </row>
    <row r="32" spans="3:9" x14ac:dyDescent="0.35">
      <c r="C32" t="s">
        <v>74</v>
      </c>
      <c r="D32" t="s">
        <v>8</v>
      </c>
      <c r="E32" t="s">
        <v>12</v>
      </c>
      <c r="F32">
        <v>40</v>
      </c>
      <c r="G32" s="4">
        <v>44337</v>
      </c>
      <c r="H32" s="5">
        <v>87620</v>
      </c>
      <c r="I32" t="s">
        <v>16</v>
      </c>
    </row>
    <row r="33" spans="3:9" x14ac:dyDescent="0.35">
      <c r="C33" t="s">
        <v>44</v>
      </c>
      <c r="D33" t="s">
        <v>8</v>
      </c>
      <c r="E33" t="s">
        <v>12</v>
      </c>
      <c r="F33">
        <v>29</v>
      </c>
      <c r="G33" s="4">
        <v>44023</v>
      </c>
      <c r="H33" s="5">
        <v>34980</v>
      </c>
      <c r="I33" t="s">
        <v>16</v>
      </c>
    </row>
    <row r="34" spans="3:9" x14ac:dyDescent="0.35">
      <c r="C34" t="s">
        <v>35</v>
      </c>
      <c r="D34" t="s">
        <v>8</v>
      </c>
      <c r="E34" t="s">
        <v>21</v>
      </c>
      <c r="F34">
        <v>28</v>
      </c>
      <c r="G34" s="4">
        <v>44185</v>
      </c>
      <c r="H34" s="5">
        <v>75970</v>
      </c>
      <c r="I34" t="s">
        <v>16</v>
      </c>
    </row>
    <row r="35" spans="3:9" x14ac:dyDescent="0.35">
      <c r="C35" t="s">
        <v>38</v>
      </c>
      <c r="D35" t="s">
        <v>8</v>
      </c>
      <c r="E35" t="s">
        <v>21</v>
      </c>
      <c r="F35">
        <v>34</v>
      </c>
      <c r="G35" s="4">
        <v>44612</v>
      </c>
      <c r="H35" s="5">
        <v>60130</v>
      </c>
      <c r="I35" t="s">
        <v>16</v>
      </c>
    </row>
    <row r="36" spans="3:9" x14ac:dyDescent="0.35">
      <c r="C36" t="s">
        <v>41</v>
      </c>
      <c r="D36" t="s">
        <v>8</v>
      </c>
      <c r="E36" t="s">
        <v>12</v>
      </c>
      <c r="F36">
        <v>33</v>
      </c>
      <c r="G36" s="4">
        <v>44374</v>
      </c>
      <c r="H36" s="5">
        <v>75480</v>
      </c>
      <c r="I36" t="s">
        <v>42</v>
      </c>
    </row>
    <row r="37" spans="3:9" x14ac:dyDescent="0.35">
      <c r="C37" t="s">
        <v>40</v>
      </c>
      <c r="D37" t="s">
        <v>15</v>
      </c>
      <c r="E37" t="s">
        <v>9</v>
      </c>
      <c r="F37">
        <v>33</v>
      </c>
      <c r="G37" s="4">
        <v>44164</v>
      </c>
      <c r="H37" s="5">
        <v>115920</v>
      </c>
      <c r="I37" t="s">
        <v>16</v>
      </c>
    </row>
    <row r="38" spans="3:9" x14ac:dyDescent="0.35">
      <c r="C38" t="s">
        <v>48</v>
      </c>
      <c r="D38" t="s">
        <v>8</v>
      </c>
      <c r="E38" t="s">
        <v>19</v>
      </c>
      <c r="F38">
        <v>36</v>
      </c>
      <c r="G38" s="4">
        <v>44494</v>
      </c>
      <c r="H38" s="5">
        <v>78540</v>
      </c>
      <c r="I38" t="s">
        <v>16</v>
      </c>
    </row>
    <row r="39" spans="3:9" x14ac:dyDescent="0.35">
      <c r="C39" t="s">
        <v>34</v>
      </c>
      <c r="D39" t="s">
        <v>15</v>
      </c>
      <c r="E39" t="s">
        <v>9</v>
      </c>
      <c r="F39">
        <v>25</v>
      </c>
      <c r="G39" s="4">
        <v>44726</v>
      </c>
      <c r="H39" s="5">
        <v>109190</v>
      </c>
      <c r="I39" t="s">
        <v>13</v>
      </c>
    </row>
    <row r="40" spans="3:9" x14ac:dyDescent="0.35">
      <c r="C40" t="s">
        <v>73</v>
      </c>
      <c r="D40" t="s">
        <v>8</v>
      </c>
      <c r="E40" t="s">
        <v>19</v>
      </c>
      <c r="F40">
        <v>34</v>
      </c>
      <c r="G40" s="4">
        <v>44721</v>
      </c>
      <c r="H40" s="5">
        <v>49630</v>
      </c>
      <c r="I40" t="s">
        <v>24</v>
      </c>
    </row>
    <row r="41" spans="3:9" x14ac:dyDescent="0.35">
      <c r="C41" t="s">
        <v>107</v>
      </c>
      <c r="D41" t="s">
        <v>8</v>
      </c>
      <c r="E41" t="s">
        <v>9</v>
      </c>
      <c r="F41">
        <v>28</v>
      </c>
      <c r="G41" s="4">
        <v>44630</v>
      </c>
      <c r="H41" s="5">
        <v>99970</v>
      </c>
      <c r="I41" t="s">
        <v>16</v>
      </c>
    </row>
    <row r="42" spans="3:9" x14ac:dyDescent="0.35">
      <c r="C42" t="s">
        <v>71</v>
      </c>
      <c r="D42" t="s">
        <v>8</v>
      </c>
      <c r="E42" t="s">
        <v>12</v>
      </c>
      <c r="F42">
        <v>33</v>
      </c>
      <c r="G42" s="4">
        <v>44190</v>
      </c>
      <c r="H42" s="5">
        <v>96140</v>
      </c>
      <c r="I42" t="s">
        <v>16</v>
      </c>
    </row>
    <row r="43" spans="3:9" x14ac:dyDescent="0.35">
      <c r="C43" t="s">
        <v>50</v>
      </c>
      <c r="D43" t="s">
        <v>15</v>
      </c>
      <c r="E43" t="s">
        <v>9</v>
      </c>
      <c r="F43">
        <v>31</v>
      </c>
      <c r="G43" s="4">
        <v>44724</v>
      </c>
      <c r="H43" s="5">
        <v>103550</v>
      </c>
      <c r="I43" t="s">
        <v>16</v>
      </c>
    </row>
    <row r="44" spans="3:9" x14ac:dyDescent="0.35">
      <c r="C44" t="s">
        <v>14</v>
      </c>
      <c r="D44" t="s">
        <v>15</v>
      </c>
      <c r="E44" t="s">
        <v>12</v>
      </c>
      <c r="F44">
        <v>31</v>
      </c>
      <c r="G44" s="4">
        <v>44511</v>
      </c>
      <c r="H44" s="5">
        <v>48950</v>
      </c>
      <c r="I44" t="s">
        <v>16</v>
      </c>
    </row>
    <row r="45" spans="3:9" x14ac:dyDescent="0.35">
      <c r="C45" t="s">
        <v>63</v>
      </c>
      <c r="D45" t="s">
        <v>15</v>
      </c>
      <c r="E45" t="s">
        <v>21</v>
      </c>
      <c r="F45">
        <v>24</v>
      </c>
      <c r="G45" s="4">
        <v>44436</v>
      </c>
      <c r="H45" s="5">
        <v>52610</v>
      </c>
      <c r="I45" t="s">
        <v>24</v>
      </c>
    </row>
    <row r="46" spans="3:9" x14ac:dyDescent="0.35">
      <c r="C46" t="s">
        <v>72</v>
      </c>
      <c r="D46" t="s">
        <v>8</v>
      </c>
      <c r="E46" t="s">
        <v>9</v>
      </c>
      <c r="F46">
        <v>36</v>
      </c>
      <c r="G46" s="4">
        <v>44529</v>
      </c>
      <c r="H46" s="5">
        <v>78390</v>
      </c>
      <c r="I46" t="s">
        <v>16</v>
      </c>
    </row>
    <row r="47" spans="3:9" x14ac:dyDescent="0.35">
      <c r="C47" t="s">
        <v>88</v>
      </c>
      <c r="D47" t="s">
        <v>8</v>
      </c>
      <c r="E47" t="s">
        <v>21</v>
      </c>
      <c r="F47">
        <v>33</v>
      </c>
      <c r="G47" s="4">
        <v>44809</v>
      </c>
      <c r="H47" s="5">
        <v>86570</v>
      </c>
      <c r="I47" t="s">
        <v>16</v>
      </c>
    </row>
    <row r="48" spans="3:9" x14ac:dyDescent="0.35">
      <c r="C48" t="s">
        <v>92</v>
      </c>
      <c r="D48" t="s">
        <v>8</v>
      </c>
      <c r="E48" t="s">
        <v>12</v>
      </c>
      <c r="F48">
        <v>27</v>
      </c>
      <c r="G48" s="4">
        <v>44686</v>
      </c>
      <c r="H48" s="5">
        <v>83750</v>
      </c>
      <c r="I48" t="s">
        <v>16</v>
      </c>
    </row>
    <row r="49" spans="3:9" x14ac:dyDescent="0.35">
      <c r="C49" t="s">
        <v>102</v>
      </c>
      <c r="D49" t="s">
        <v>8</v>
      </c>
      <c r="E49" t="s">
        <v>21</v>
      </c>
      <c r="F49">
        <v>34</v>
      </c>
      <c r="G49" s="4">
        <v>44445</v>
      </c>
      <c r="H49" s="5">
        <v>92450</v>
      </c>
      <c r="I49" t="s">
        <v>16</v>
      </c>
    </row>
    <row r="50" spans="3:9" x14ac:dyDescent="0.35">
      <c r="C50" t="s">
        <v>64</v>
      </c>
      <c r="D50" t="s">
        <v>15</v>
      </c>
      <c r="E50" t="s">
        <v>12</v>
      </c>
      <c r="F50">
        <v>20</v>
      </c>
      <c r="G50" s="4">
        <v>44183</v>
      </c>
      <c r="H50" s="5">
        <v>112650</v>
      </c>
      <c r="I50" t="s">
        <v>16</v>
      </c>
    </row>
    <row r="51" spans="3:9" x14ac:dyDescent="0.35">
      <c r="C51" t="s">
        <v>104</v>
      </c>
      <c r="D51" t="s">
        <v>15</v>
      </c>
      <c r="E51" t="s">
        <v>9</v>
      </c>
      <c r="F51">
        <v>20</v>
      </c>
      <c r="G51" s="4">
        <v>44744</v>
      </c>
      <c r="H51" s="5">
        <v>79570</v>
      </c>
      <c r="I51" t="s">
        <v>16</v>
      </c>
    </row>
    <row r="52" spans="3:9" x14ac:dyDescent="0.35">
      <c r="C52" t="s">
        <v>91</v>
      </c>
      <c r="D52" t="s">
        <v>8</v>
      </c>
      <c r="E52" t="s">
        <v>19</v>
      </c>
      <c r="F52">
        <v>20</v>
      </c>
      <c r="G52" s="4">
        <v>44537</v>
      </c>
      <c r="H52" s="5">
        <v>68900</v>
      </c>
      <c r="I52" t="s">
        <v>24</v>
      </c>
    </row>
    <row r="53" spans="3:9" x14ac:dyDescent="0.35">
      <c r="C53" t="s">
        <v>39</v>
      </c>
      <c r="D53" t="s">
        <v>8</v>
      </c>
      <c r="E53" t="s">
        <v>12</v>
      </c>
      <c r="F53">
        <v>25</v>
      </c>
      <c r="G53" s="4">
        <v>44694</v>
      </c>
      <c r="H53" s="5">
        <v>80700</v>
      </c>
      <c r="I53" t="s">
        <v>13</v>
      </c>
    </row>
    <row r="54" spans="3:9" x14ac:dyDescent="0.35">
      <c r="C54" t="s">
        <v>100</v>
      </c>
      <c r="D54" t="s">
        <v>15</v>
      </c>
      <c r="E54" t="s">
        <v>9</v>
      </c>
      <c r="F54">
        <v>19</v>
      </c>
      <c r="G54" s="4">
        <v>44277</v>
      </c>
      <c r="H54" s="5">
        <v>58960</v>
      </c>
      <c r="I54" t="s">
        <v>16</v>
      </c>
    </row>
    <row r="55" spans="3:9" x14ac:dyDescent="0.35">
      <c r="C55" t="s">
        <v>106</v>
      </c>
      <c r="D55" t="s">
        <v>15</v>
      </c>
      <c r="E55" t="s">
        <v>12</v>
      </c>
      <c r="F55">
        <v>36</v>
      </c>
      <c r="G55" s="4">
        <v>44019</v>
      </c>
      <c r="H55" s="5">
        <v>118840</v>
      </c>
      <c r="I55" t="s">
        <v>16</v>
      </c>
    </row>
    <row r="56" spans="3:9" x14ac:dyDescent="0.35">
      <c r="C56" t="s">
        <v>29</v>
      </c>
      <c r="D56" t="s">
        <v>15</v>
      </c>
      <c r="E56" t="s">
        <v>21</v>
      </c>
      <c r="F56">
        <v>28</v>
      </c>
      <c r="G56" s="4">
        <v>44041</v>
      </c>
      <c r="H56" s="5">
        <v>48170</v>
      </c>
      <c r="I56" t="s">
        <v>13</v>
      </c>
    </row>
    <row r="57" spans="3:9" x14ac:dyDescent="0.35">
      <c r="C57" t="s">
        <v>108</v>
      </c>
      <c r="D57" t="s">
        <v>8</v>
      </c>
      <c r="E57" t="s">
        <v>56</v>
      </c>
      <c r="F57">
        <v>32</v>
      </c>
      <c r="G57" s="4">
        <v>44400</v>
      </c>
      <c r="H57" s="5">
        <v>45510</v>
      </c>
      <c r="I57" t="s">
        <v>16</v>
      </c>
    </row>
    <row r="58" spans="3:9" x14ac:dyDescent="0.35">
      <c r="C58" t="s">
        <v>64</v>
      </c>
      <c r="D58" t="s">
        <v>15</v>
      </c>
      <c r="E58" t="s">
        <v>9</v>
      </c>
      <c r="F58">
        <v>34</v>
      </c>
      <c r="G58" s="4">
        <v>44703</v>
      </c>
      <c r="H58" s="5">
        <v>112650</v>
      </c>
      <c r="I58" t="s">
        <v>16</v>
      </c>
    </row>
    <row r="59" spans="3:9" x14ac:dyDescent="0.35">
      <c r="C59" t="s">
        <v>83</v>
      </c>
      <c r="D59" t="s">
        <v>8</v>
      </c>
      <c r="E59" t="s">
        <v>9</v>
      </c>
      <c r="F59">
        <v>36</v>
      </c>
      <c r="G59" s="4">
        <v>44085</v>
      </c>
      <c r="H59" s="5">
        <v>114890</v>
      </c>
      <c r="I59" t="s">
        <v>16</v>
      </c>
    </row>
    <row r="60" spans="3:9" x14ac:dyDescent="0.35">
      <c r="C60" t="s">
        <v>67</v>
      </c>
      <c r="D60" t="s">
        <v>15</v>
      </c>
      <c r="E60" t="s">
        <v>12</v>
      </c>
      <c r="F60">
        <v>30</v>
      </c>
      <c r="G60" s="4">
        <v>44850</v>
      </c>
      <c r="H60" s="5">
        <v>69710</v>
      </c>
      <c r="I60" t="s">
        <v>16</v>
      </c>
    </row>
    <row r="61" spans="3:9" x14ac:dyDescent="0.35">
      <c r="C61" t="s">
        <v>94</v>
      </c>
      <c r="D61" t="s">
        <v>15</v>
      </c>
      <c r="E61" t="s">
        <v>21</v>
      </c>
      <c r="F61">
        <v>36</v>
      </c>
      <c r="G61" s="4">
        <v>44333</v>
      </c>
      <c r="H61" s="5">
        <v>71380</v>
      </c>
      <c r="I61" t="s">
        <v>16</v>
      </c>
    </row>
    <row r="62" spans="3:9" x14ac:dyDescent="0.35">
      <c r="C62" t="s">
        <v>33</v>
      </c>
      <c r="D62" t="s">
        <v>8</v>
      </c>
      <c r="E62" t="s">
        <v>19</v>
      </c>
      <c r="F62">
        <v>38</v>
      </c>
      <c r="G62" s="4">
        <v>44377</v>
      </c>
      <c r="H62" s="5">
        <v>109160</v>
      </c>
      <c r="I62" t="s">
        <v>10</v>
      </c>
    </row>
    <row r="63" spans="3:9" x14ac:dyDescent="0.35">
      <c r="C63" t="s">
        <v>98</v>
      </c>
      <c r="D63" t="s">
        <v>15</v>
      </c>
      <c r="E63" t="s">
        <v>9</v>
      </c>
      <c r="F63">
        <v>27</v>
      </c>
      <c r="G63" s="4">
        <v>44609</v>
      </c>
      <c r="H63" s="5">
        <v>113280</v>
      </c>
      <c r="I63" t="s">
        <v>42</v>
      </c>
    </row>
    <row r="64" spans="3:9" x14ac:dyDescent="0.35">
      <c r="C64" t="s">
        <v>25</v>
      </c>
      <c r="D64" t="s">
        <v>15</v>
      </c>
      <c r="E64" t="s">
        <v>12</v>
      </c>
      <c r="F64">
        <v>30</v>
      </c>
      <c r="G64" s="4">
        <v>44273</v>
      </c>
      <c r="H64" s="5">
        <v>69120</v>
      </c>
      <c r="I64" t="s">
        <v>16</v>
      </c>
    </row>
    <row r="65" spans="3:9" x14ac:dyDescent="0.35">
      <c r="C65" t="s">
        <v>55</v>
      </c>
      <c r="D65" t="s">
        <v>8</v>
      </c>
      <c r="E65" t="s">
        <v>56</v>
      </c>
      <c r="F65">
        <v>37</v>
      </c>
      <c r="G65" s="4">
        <v>44451</v>
      </c>
      <c r="H65" s="5">
        <v>118100</v>
      </c>
      <c r="I65" t="s">
        <v>16</v>
      </c>
    </row>
    <row r="66" spans="3:9" x14ac:dyDescent="0.35">
      <c r="C66" t="s">
        <v>62</v>
      </c>
      <c r="D66" t="s">
        <v>8</v>
      </c>
      <c r="E66" t="s">
        <v>9</v>
      </c>
      <c r="F66">
        <v>22</v>
      </c>
      <c r="G66" s="4">
        <v>44450</v>
      </c>
      <c r="H66" s="5">
        <v>76900</v>
      </c>
      <c r="I66" t="s">
        <v>13</v>
      </c>
    </row>
    <row r="67" spans="3:9" x14ac:dyDescent="0.35">
      <c r="C67" t="s">
        <v>17</v>
      </c>
      <c r="D67" t="s">
        <v>8</v>
      </c>
      <c r="E67" t="s">
        <v>12</v>
      </c>
      <c r="F67">
        <v>43</v>
      </c>
      <c r="G67" s="4">
        <v>45045</v>
      </c>
      <c r="H67" s="5">
        <v>114870</v>
      </c>
      <c r="I67" t="s">
        <v>16</v>
      </c>
    </row>
    <row r="68" spans="3:9" x14ac:dyDescent="0.35">
      <c r="C68" t="s">
        <v>52</v>
      </c>
      <c r="E68" t="s">
        <v>12</v>
      </c>
      <c r="F68">
        <v>32</v>
      </c>
      <c r="G68" s="4">
        <v>44774</v>
      </c>
      <c r="H68" s="5">
        <v>91310</v>
      </c>
      <c r="I68" t="s">
        <v>16</v>
      </c>
    </row>
    <row r="69" spans="3:9" x14ac:dyDescent="0.35">
      <c r="C69" t="s">
        <v>43</v>
      </c>
      <c r="D69" t="s">
        <v>8</v>
      </c>
      <c r="E69" t="s">
        <v>9</v>
      </c>
      <c r="F69">
        <v>28</v>
      </c>
      <c r="G69" s="4">
        <v>44486</v>
      </c>
      <c r="H69" s="5">
        <v>104770</v>
      </c>
      <c r="I69" t="s">
        <v>16</v>
      </c>
    </row>
    <row r="70" spans="3:9" x14ac:dyDescent="0.35">
      <c r="C70" t="s">
        <v>89</v>
      </c>
      <c r="D70" t="s">
        <v>15</v>
      </c>
      <c r="E70" t="s">
        <v>19</v>
      </c>
      <c r="F70">
        <v>27</v>
      </c>
      <c r="G70" s="4">
        <v>44134</v>
      </c>
      <c r="H70" s="5">
        <v>54970</v>
      </c>
      <c r="I70" t="s">
        <v>16</v>
      </c>
    </row>
    <row r="71" spans="3:9" x14ac:dyDescent="0.35">
      <c r="C71" t="s">
        <v>11</v>
      </c>
      <c r="E71" t="s">
        <v>12</v>
      </c>
      <c r="F71">
        <v>26</v>
      </c>
      <c r="G71" s="4">
        <v>44271</v>
      </c>
      <c r="H71" s="5">
        <v>90700</v>
      </c>
      <c r="I71" t="s">
        <v>13</v>
      </c>
    </row>
    <row r="72" spans="3:9" x14ac:dyDescent="0.35">
      <c r="C72" t="s">
        <v>109</v>
      </c>
      <c r="D72" t="s">
        <v>8</v>
      </c>
      <c r="E72" t="s">
        <v>19</v>
      </c>
      <c r="F72">
        <v>38</v>
      </c>
      <c r="G72" s="4">
        <v>44329</v>
      </c>
      <c r="H72" s="5">
        <v>56870</v>
      </c>
      <c r="I72" t="s">
        <v>13</v>
      </c>
    </row>
    <row r="73" spans="3:9" x14ac:dyDescent="0.35">
      <c r="C73" t="s">
        <v>77</v>
      </c>
      <c r="D73" t="s">
        <v>8</v>
      </c>
      <c r="E73" t="s">
        <v>19</v>
      </c>
      <c r="F73">
        <v>25</v>
      </c>
      <c r="G73" s="4">
        <v>44205</v>
      </c>
      <c r="H73" s="5">
        <v>92700</v>
      </c>
      <c r="I73" t="s">
        <v>16</v>
      </c>
    </row>
    <row r="74" spans="3:9" x14ac:dyDescent="0.35">
      <c r="C74" t="s">
        <v>32</v>
      </c>
      <c r="D74" t="s">
        <v>8</v>
      </c>
      <c r="E74" t="s">
        <v>21</v>
      </c>
      <c r="F74">
        <v>21</v>
      </c>
      <c r="G74" s="4">
        <v>44317</v>
      </c>
      <c r="H74" s="5">
        <v>65920</v>
      </c>
      <c r="I74" t="s">
        <v>16</v>
      </c>
    </row>
    <row r="75" spans="3:9" x14ac:dyDescent="0.35">
      <c r="C75" t="s">
        <v>59</v>
      </c>
      <c r="D75" t="s">
        <v>15</v>
      </c>
      <c r="E75" t="s">
        <v>9</v>
      </c>
      <c r="F75">
        <v>26</v>
      </c>
      <c r="G75" s="4">
        <v>44225</v>
      </c>
      <c r="H75" s="5">
        <v>47360</v>
      </c>
      <c r="I75" t="s">
        <v>16</v>
      </c>
    </row>
    <row r="76" spans="3:9" x14ac:dyDescent="0.35">
      <c r="C76" t="s">
        <v>37</v>
      </c>
      <c r="D76" t="s">
        <v>15</v>
      </c>
      <c r="E76" t="s">
        <v>9</v>
      </c>
      <c r="F76">
        <v>30</v>
      </c>
      <c r="G76" s="4">
        <v>44666</v>
      </c>
      <c r="H76" s="5">
        <v>60570</v>
      </c>
      <c r="I76" t="s">
        <v>16</v>
      </c>
    </row>
    <row r="77" spans="3:9" x14ac:dyDescent="0.35">
      <c r="C77" t="s">
        <v>96</v>
      </c>
      <c r="D77" t="s">
        <v>8</v>
      </c>
      <c r="E77" t="s">
        <v>9</v>
      </c>
      <c r="F77">
        <v>28</v>
      </c>
      <c r="G77" s="4">
        <v>44649</v>
      </c>
      <c r="H77" s="5">
        <v>104120</v>
      </c>
      <c r="I77" t="s">
        <v>16</v>
      </c>
    </row>
    <row r="78" spans="3:9" x14ac:dyDescent="0.35">
      <c r="C78" t="s">
        <v>23</v>
      </c>
      <c r="D78" t="s">
        <v>15</v>
      </c>
      <c r="E78" t="s">
        <v>12</v>
      </c>
      <c r="F78">
        <v>37</v>
      </c>
      <c r="G78" s="4">
        <v>44338</v>
      </c>
      <c r="H78" s="5">
        <v>88050</v>
      </c>
      <c r="I78" t="s">
        <v>24</v>
      </c>
    </row>
    <row r="79" spans="3:9" x14ac:dyDescent="0.35">
      <c r="C79" t="s">
        <v>103</v>
      </c>
      <c r="D79" t="s">
        <v>15</v>
      </c>
      <c r="E79" t="s">
        <v>12</v>
      </c>
      <c r="F79">
        <v>24</v>
      </c>
      <c r="G79" s="4">
        <v>44686</v>
      </c>
      <c r="H79" s="5">
        <v>100420</v>
      </c>
      <c r="I79" t="s">
        <v>16</v>
      </c>
    </row>
    <row r="80" spans="3:9" x14ac:dyDescent="0.35">
      <c r="C80" t="s">
        <v>54</v>
      </c>
      <c r="D80" t="s">
        <v>8</v>
      </c>
      <c r="E80" t="s">
        <v>9</v>
      </c>
      <c r="F80">
        <v>30</v>
      </c>
      <c r="G80" s="4">
        <v>44850</v>
      </c>
      <c r="H80" s="5">
        <v>114180</v>
      </c>
      <c r="I80" t="s">
        <v>16</v>
      </c>
    </row>
    <row r="81" spans="3:9" x14ac:dyDescent="0.35">
      <c r="C81" t="s">
        <v>86</v>
      </c>
      <c r="D81" t="s">
        <v>8</v>
      </c>
      <c r="E81" t="s">
        <v>12</v>
      </c>
      <c r="F81">
        <v>21</v>
      </c>
      <c r="G81" s="4">
        <v>44678</v>
      </c>
      <c r="H81" s="5">
        <v>33920</v>
      </c>
      <c r="I81" t="s">
        <v>16</v>
      </c>
    </row>
    <row r="82" spans="3:9" x14ac:dyDescent="0.35">
      <c r="C82" t="s">
        <v>69</v>
      </c>
      <c r="D82" t="s">
        <v>15</v>
      </c>
      <c r="E82" t="s">
        <v>9</v>
      </c>
      <c r="F82">
        <v>23</v>
      </c>
      <c r="G82" s="4">
        <v>44440</v>
      </c>
      <c r="H82" s="5">
        <v>106460</v>
      </c>
      <c r="I82" t="s">
        <v>16</v>
      </c>
    </row>
    <row r="83" spans="3:9" x14ac:dyDescent="0.35">
      <c r="C83" t="s">
        <v>57</v>
      </c>
      <c r="D83" t="s">
        <v>15</v>
      </c>
      <c r="E83" t="s">
        <v>9</v>
      </c>
      <c r="F83">
        <v>35</v>
      </c>
      <c r="G83" s="4">
        <v>44727</v>
      </c>
      <c r="H83" s="5">
        <v>40400</v>
      </c>
      <c r="I83" t="s">
        <v>16</v>
      </c>
    </row>
    <row r="84" spans="3:9" x14ac:dyDescent="0.35">
      <c r="C84" t="s">
        <v>68</v>
      </c>
      <c r="D84" t="s">
        <v>15</v>
      </c>
      <c r="E84" t="s">
        <v>21</v>
      </c>
      <c r="F84">
        <v>27</v>
      </c>
      <c r="G84" s="4">
        <v>44236</v>
      </c>
      <c r="H84" s="5">
        <v>91650</v>
      </c>
      <c r="I84" t="s">
        <v>13</v>
      </c>
    </row>
    <row r="85" spans="3:9" x14ac:dyDescent="0.35">
      <c r="C85" t="s">
        <v>99</v>
      </c>
      <c r="D85" t="s">
        <v>15</v>
      </c>
      <c r="E85" t="s">
        <v>19</v>
      </c>
      <c r="F85">
        <v>43</v>
      </c>
      <c r="G85" s="4">
        <v>44620</v>
      </c>
      <c r="H85" s="5">
        <v>36040</v>
      </c>
      <c r="I85" t="s">
        <v>16</v>
      </c>
    </row>
    <row r="86" spans="3:9" x14ac:dyDescent="0.35">
      <c r="C86" t="s">
        <v>101</v>
      </c>
      <c r="D86" t="s">
        <v>8</v>
      </c>
      <c r="E86" t="s">
        <v>12</v>
      </c>
      <c r="F86">
        <v>40</v>
      </c>
      <c r="G86" s="4">
        <v>44381</v>
      </c>
      <c r="H86" s="5">
        <v>104410</v>
      </c>
      <c r="I86" t="s">
        <v>16</v>
      </c>
    </row>
    <row r="87" spans="3:9" x14ac:dyDescent="0.35">
      <c r="C87" t="s">
        <v>85</v>
      </c>
      <c r="D87" t="s">
        <v>15</v>
      </c>
      <c r="E87" t="s">
        <v>21</v>
      </c>
      <c r="F87">
        <v>30</v>
      </c>
      <c r="G87" s="4">
        <v>44606</v>
      </c>
      <c r="H87" s="5">
        <v>96800</v>
      </c>
      <c r="I87" t="s">
        <v>16</v>
      </c>
    </row>
    <row r="88" spans="3:9" x14ac:dyDescent="0.35">
      <c r="C88" t="s">
        <v>28</v>
      </c>
      <c r="D88" t="s">
        <v>8</v>
      </c>
      <c r="E88" t="s">
        <v>21</v>
      </c>
      <c r="F88">
        <v>34</v>
      </c>
      <c r="G88" s="4">
        <v>44459</v>
      </c>
      <c r="H88" s="5">
        <v>85000</v>
      </c>
      <c r="I88" t="s">
        <v>16</v>
      </c>
    </row>
    <row r="89" spans="3:9" x14ac:dyDescent="0.35">
      <c r="C89" t="s">
        <v>80</v>
      </c>
      <c r="D89" t="s">
        <v>15</v>
      </c>
      <c r="E89" t="s">
        <v>19</v>
      </c>
      <c r="F89">
        <v>28</v>
      </c>
      <c r="G89" s="4">
        <v>44820</v>
      </c>
      <c r="H89" s="5">
        <v>43510</v>
      </c>
      <c r="I89" t="s">
        <v>42</v>
      </c>
    </row>
    <row r="90" spans="3:9" x14ac:dyDescent="0.35">
      <c r="C90" t="s">
        <v>79</v>
      </c>
      <c r="D90" t="s">
        <v>15</v>
      </c>
      <c r="E90" t="s">
        <v>21</v>
      </c>
      <c r="F90">
        <v>33</v>
      </c>
      <c r="G90" s="4">
        <v>44243</v>
      </c>
      <c r="H90" s="5">
        <v>59430</v>
      </c>
      <c r="I90" t="s">
        <v>16</v>
      </c>
    </row>
    <row r="91" spans="3:9" x14ac:dyDescent="0.35">
      <c r="C91" t="s">
        <v>93</v>
      </c>
      <c r="D91" t="s">
        <v>8</v>
      </c>
      <c r="E91" t="s">
        <v>21</v>
      </c>
      <c r="F91">
        <v>33</v>
      </c>
      <c r="G91" s="4">
        <v>44067</v>
      </c>
      <c r="H91" s="5">
        <v>65360</v>
      </c>
      <c r="I91" t="s">
        <v>16</v>
      </c>
    </row>
    <row r="92" spans="3:9" x14ac:dyDescent="0.35">
      <c r="C92" t="s">
        <v>66</v>
      </c>
      <c r="D92" t="s">
        <v>8</v>
      </c>
      <c r="E92" t="s">
        <v>9</v>
      </c>
      <c r="F92">
        <v>32</v>
      </c>
      <c r="G92" s="4">
        <v>44611</v>
      </c>
      <c r="H92" s="5">
        <v>41570</v>
      </c>
      <c r="I92" t="s">
        <v>16</v>
      </c>
    </row>
    <row r="93" spans="3:9" x14ac:dyDescent="0.35">
      <c r="C93" t="s">
        <v>95</v>
      </c>
      <c r="D93" t="s">
        <v>8</v>
      </c>
      <c r="E93" t="s">
        <v>12</v>
      </c>
      <c r="F93">
        <v>33</v>
      </c>
      <c r="G93" s="4">
        <v>44312</v>
      </c>
      <c r="H93" s="5">
        <v>75280</v>
      </c>
      <c r="I93" t="s">
        <v>16</v>
      </c>
    </row>
    <row r="94" spans="3:9" x14ac:dyDescent="0.35">
      <c r="C94" t="s">
        <v>18</v>
      </c>
      <c r="D94" t="s">
        <v>15</v>
      </c>
      <c r="E94" t="s">
        <v>19</v>
      </c>
      <c r="F94">
        <v>33</v>
      </c>
      <c r="G94" s="4">
        <v>44385</v>
      </c>
      <c r="H94" s="5">
        <v>74550</v>
      </c>
      <c r="I94" t="s">
        <v>16</v>
      </c>
    </row>
    <row r="95" spans="3:9" x14ac:dyDescent="0.35">
      <c r="C95" t="s">
        <v>45</v>
      </c>
      <c r="D95" t="s">
        <v>15</v>
      </c>
      <c r="E95" t="s">
        <v>9</v>
      </c>
      <c r="F95">
        <v>30</v>
      </c>
      <c r="G95" s="4">
        <v>44701</v>
      </c>
      <c r="H95" s="5">
        <v>67950</v>
      </c>
      <c r="I95" t="s">
        <v>16</v>
      </c>
    </row>
    <row r="96" spans="3:9" x14ac:dyDescent="0.35">
      <c r="C96" t="s">
        <v>90</v>
      </c>
      <c r="D96" t="s">
        <v>15</v>
      </c>
      <c r="E96" t="s">
        <v>21</v>
      </c>
      <c r="F96">
        <v>42</v>
      </c>
      <c r="G96" s="4">
        <v>44731</v>
      </c>
      <c r="H96" s="5">
        <v>70270</v>
      </c>
      <c r="I96" t="s">
        <v>24</v>
      </c>
    </row>
    <row r="97" spans="3:9" x14ac:dyDescent="0.35">
      <c r="C97" t="s">
        <v>46</v>
      </c>
      <c r="D97" t="s">
        <v>15</v>
      </c>
      <c r="E97" t="s">
        <v>9</v>
      </c>
      <c r="F97">
        <v>26</v>
      </c>
      <c r="G97" s="4">
        <v>44411</v>
      </c>
      <c r="H97" s="5">
        <v>53540</v>
      </c>
      <c r="I97" t="s">
        <v>16</v>
      </c>
    </row>
    <row r="98" spans="3:9" x14ac:dyDescent="0.35">
      <c r="C98" t="s">
        <v>58</v>
      </c>
      <c r="D98" t="s">
        <v>15</v>
      </c>
      <c r="E98" t="s">
        <v>19</v>
      </c>
      <c r="F98">
        <v>22</v>
      </c>
      <c r="G98" s="4">
        <v>44446</v>
      </c>
      <c r="H98" s="5">
        <v>112780</v>
      </c>
      <c r="I98" t="s">
        <v>13</v>
      </c>
    </row>
    <row r="99" spans="3:9" x14ac:dyDescent="0.35">
      <c r="C99" t="s">
        <v>70</v>
      </c>
      <c r="D99" t="s">
        <v>15</v>
      </c>
      <c r="E99" t="s">
        <v>9</v>
      </c>
      <c r="F99">
        <v>46</v>
      </c>
      <c r="G99" s="4">
        <v>44758</v>
      </c>
      <c r="H99" s="5">
        <v>70610</v>
      </c>
      <c r="I99" t="s">
        <v>16</v>
      </c>
    </row>
    <row r="100" spans="3:9" x14ac:dyDescent="0.35">
      <c r="C100" t="s">
        <v>75</v>
      </c>
      <c r="D100" t="s">
        <v>8</v>
      </c>
      <c r="E100" t="s">
        <v>19</v>
      </c>
      <c r="F100">
        <v>28</v>
      </c>
      <c r="G100" s="4">
        <v>44357</v>
      </c>
      <c r="H100" s="5">
        <v>53240</v>
      </c>
      <c r="I100" t="s">
        <v>16</v>
      </c>
    </row>
    <row r="101" spans="3:9" x14ac:dyDescent="0.35">
      <c r="C101" t="s">
        <v>49</v>
      </c>
      <c r="E101" t="s">
        <v>21</v>
      </c>
      <c r="F101">
        <v>37</v>
      </c>
      <c r="G101" s="4">
        <v>44146</v>
      </c>
      <c r="H101" s="5">
        <v>115440</v>
      </c>
      <c r="I101" t="s">
        <v>24</v>
      </c>
    </row>
    <row r="102" spans="3:9" x14ac:dyDescent="0.35">
      <c r="C102" t="s">
        <v>65</v>
      </c>
      <c r="D102" t="s">
        <v>15</v>
      </c>
      <c r="E102" t="s">
        <v>19</v>
      </c>
      <c r="F102">
        <v>32</v>
      </c>
      <c r="G102" s="4">
        <v>44465</v>
      </c>
      <c r="H102" s="5">
        <v>53540</v>
      </c>
      <c r="I102" t="s">
        <v>16</v>
      </c>
    </row>
    <row r="103" spans="3:9" x14ac:dyDescent="0.35">
      <c r="C103" t="s">
        <v>81</v>
      </c>
      <c r="D103" t="s">
        <v>8</v>
      </c>
      <c r="E103" t="s">
        <v>9</v>
      </c>
      <c r="F103">
        <v>30</v>
      </c>
      <c r="G103" s="4">
        <v>44861</v>
      </c>
      <c r="H103" s="5">
        <v>112570</v>
      </c>
      <c r="I103" t="s">
        <v>16</v>
      </c>
    </row>
    <row r="104" spans="3:9" x14ac:dyDescent="0.35">
      <c r="C104" t="s">
        <v>51</v>
      </c>
      <c r="D104" t="s">
        <v>15</v>
      </c>
      <c r="E104" t="s">
        <v>9</v>
      </c>
      <c r="F104">
        <v>33</v>
      </c>
      <c r="G104" s="4">
        <v>44701</v>
      </c>
      <c r="H104" s="5">
        <v>48530</v>
      </c>
      <c r="I104" t="s">
        <v>13</v>
      </c>
    </row>
    <row r="105" spans="3:9" x14ac:dyDescent="0.35">
      <c r="C105" t="s">
        <v>61</v>
      </c>
      <c r="D105" t="s">
        <v>8</v>
      </c>
      <c r="E105" t="s">
        <v>12</v>
      </c>
      <c r="F105">
        <v>24</v>
      </c>
      <c r="G105" s="4">
        <v>44148</v>
      </c>
      <c r="H105" s="5">
        <v>62780</v>
      </c>
      <c r="I105" t="s">
        <v>16</v>
      </c>
    </row>
    <row r="106" spans="3:9" x14ac:dyDescent="0.35">
      <c r="C106" t="s">
        <v>204</v>
      </c>
      <c r="F106">
        <f>SUBTOTAL(101,NZ_staff[Age])</f>
        <v>30.52</v>
      </c>
      <c r="H106" s="5">
        <f>SUBTOTAL(101,NZ_staff[Salary])</f>
        <v>77472.100000000006</v>
      </c>
      <c r="I106">
        <f>SUBTOTAL(103,NZ_staff[Rating])</f>
        <v>100</v>
      </c>
    </row>
  </sheetData>
  <conditionalFormatting sqref="C5:C106">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72EC4-DDE2-4CB7-AC70-5AB590F93835}">
  <dimension ref="B2:M114"/>
  <sheetViews>
    <sheetView workbookViewId="0">
      <selection activeCell="C16" sqref="C16"/>
    </sheetView>
  </sheetViews>
  <sheetFormatPr defaultRowHeight="14.5" x14ac:dyDescent="0.35"/>
  <cols>
    <col min="2" max="2" width="27.36328125" customWidth="1"/>
    <col min="3" max="3" width="9.26953125" bestFit="1" customWidth="1"/>
    <col min="4" max="4" width="6.1796875" bestFit="1" customWidth="1"/>
    <col min="5" max="5" width="13.1796875" bestFit="1" customWidth="1"/>
    <col min="6" max="6" width="12.90625" bestFit="1" customWidth="1"/>
    <col min="7" max="7" width="13.36328125" bestFit="1" customWidth="1"/>
    <col min="8" max="8" width="8.08984375" bestFit="1" customWidth="1"/>
  </cols>
  <sheetData>
    <row r="2" spans="2:13" x14ac:dyDescent="0.35">
      <c r="B2" t="s">
        <v>0</v>
      </c>
      <c r="C2" t="s">
        <v>1</v>
      </c>
      <c r="D2" t="s">
        <v>3</v>
      </c>
      <c r="E2" t="s">
        <v>6</v>
      </c>
      <c r="F2" t="s">
        <v>4</v>
      </c>
      <c r="G2" t="s">
        <v>2</v>
      </c>
      <c r="H2" t="s">
        <v>5</v>
      </c>
    </row>
    <row r="3" spans="2:13" x14ac:dyDescent="0.35">
      <c r="B3" t="s">
        <v>156</v>
      </c>
      <c r="C3" t="s">
        <v>15</v>
      </c>
      <c r="D3">
        <v>20</v>
      </c>
      <c r="E3" t="s">
        <v>16</v>
      </c>
      <c r="F3" s="4">
        <v>44122</v>
      </c>
      <c r="G3" t="s">
        <v>12</v>
      </c>
      <c r="H3">
        <v>112650</v>
      </c>
    </row>
    <row r="4" spans="2:13" x14ac:dyDescent="0.35">
      <c r="B4" t="s">
        <v>176</v>
      </c>
      <c r="C4" t="s">
        <v>8</v>
      </c>
      <c r="D4">
        <v>32</v>
      </c>
      <c r="E4" t="s">
        <v>13</v>
      </c>
      <c r="F4" s="4">
        <v>44293</v>
      </c>
      <c r="G4" t="s">
        <v>12</v>
      </c>
      <c r="H4">
        <v>43840</v>
      </c>
    </row>
    <row r="5" spans="2:13" x14ac:dyDescent="0.35">
      <c r="B5" t="s">
        <v>143</v>
      </c>
      <c r="C5" t="s">
        <v>15</v>
      </c>
      <c r="D5">
        <v>31</v>
      </c>
      <c r="E5" t="s">
        <v>16</v>
      </c>
      <c r="F5" s="4">
        <v>44663</v>
      </c>
      <c r="G5" t="s">
        <v>9</v>
      </c>
      <c r="H5">
        <v>103550</v>
      </c>
    </row>
    <row r="6" spans="2:13" x14ac:dyDescent="0.35">
      <c r="B6" t="s">
        <v>201</v>
      </c>
      <c r="C6" t="s">
        <v>8</v>
      </c>
      <c r="D6">
        <v>32</v>
      </c>
      <c r="E6" t="s">
        <v>16</v>
      </c>
      <c r="F6" s="4">
        <v>44339</v>
      </c>
      <c r="G6" t="s">
        <v>56</v>
      </c>
      <c r="H6">
        <v>45510</v>
      </c>
      <c r="M6" t="s">
        <v>203</v>
      </c>
    </row>
    <row r="7" spans="2:13" x14ac:dyDescent="0.35">
      <c r="B7" t="s">
        <v>142</v>
      </c>
      <c r="D7">
        <v>37</v>
      </c>
      <c r="E7" t="s">
        <v>24</v>
      </c>
      <c r="F7" s="4">
        <v>44085</v>
      </c>
      <c r="G7" t="s">
        <v>21</v>
      </c>
      <c r="H7">
        <v>115440</v>
      </c>
    </row>
    <row r="8" spans="2:13" x14ac:dyDescent="0.35">
      <c r="B8" t="s">
        <v>202</v>
      </c>
      <c r="C8" t="s">
        <v>8</v>
      </c>
      <c r="D8">
        <v>38</v>
      </c>
      <c r="E8" t="s">
        <v>13</v>
      </c>
      <c r="F8" s="4">
        <v>44268</v>
      </c>
      <c r="G8" t="s">
        <v>19</v>
      </c>
      <c r="H8">
        <v>56870</v>
      </c>
    </row>
    <row r="9" spans="2:13" x14ac:dyDescent="0.35">
      <c r="B9" t="s">
        <v>169</v>
      </c>
      <c r="C9" t="s">
        <v>8</v>
      </c>
      <c r="D9">
        <v>25</v>
      </c>
      <c r="E9" t="s">
        <v>16</v>
      </c>
      <c r="F9" s="4">
        <v>44144</v>
      </c>
      <c r="G9" t="s">
        <v>19</v>
      </c>
      <c r="H9">
        <v>92700</v>
      </c>
    </row>
    <row r="10" spans="2:13" x14ac:dyDescent="0.35">
      <c r="B10" t="s">
        <v>145</v>
      </c>
      <c r="D10">
        <v>32</v>
      </c>
      <c r="E10" t="s">
        <v>16</v>
      </c>
      <c r="F10" s="4">
        <v>44713</v>
      </c>
      <c r="G10" t="s">
        <v>12</v>
      </c>
      <c r="H10">
        <v>91310</v>
      </c>
    </row>
    <row r="11" spans="2:13" x14ac:dyDescent="0.35">
      <c r="B11" t="s">
        <v>115</v>
      </c>
      <c r="C11" t="s">
        <v>15</v>
      </c>
      <c r="D11">
        <v>33</v>
      </c>
      <c r="E11" t="s">
        <v>16</v>
      </c>
      <c r="F11" s="4">
        <v>44324</v>
      </c>
      <c r="G11" t="s">
        <v>19</v>
      </c>
      <c r="H11">
        <v>74550</v>
      </c>
    </row>
    <row r="12" spans="2:13" x14ac:dyDescent="0.35">
      <c r="B12" t="s">
        <v>128</v>
      </c>
      <c r="C12" t="s">
        <v>15</v>
      </c>
      <c r="D12">
        <v>25</v>
      </c>
      <c r="E12" t="s">
        <v>13</v>
      </c>
      <c r="F12" s="4">
        <v>44665</v>
      </c>
      <c r="G12" t="s">
        <v>9</v>
      </c>
      <c r="H12">
        <v>109190</v>
      </c>
    </row>
    <row r="13" spans="2:13" x14ac:dyDescent="0.35">
      <c r="B13" t="s">
        <v>194</v>
      </c>
      <c r="C13" t="s">
        <v>8</v>
      </c>
      <c r="D13">
        <v>40</v>
      </c>
      <c r="E13" t="s">
        <v>16</v>
      </c>
      <c r="F13" s="4">
        <v>44320</v>
      </c>
      <c r="G13" t="s">
        <v>12</v>
      </c>
      <c r="H13">
        <v>104410</v>
      </c>
    </row>
    <row r="14" spans="2:13" x14ac:dyDescent="0.35">
      <c r="B14" t="s">
        <v>177</v>
      </c>
      <c r="C14" t="s">
        <v>15</v>
      </c>
      <c r="D14">
        <v>30</v>
      </c>
      <c r="E14" t="s">
        <v>16</v>
      </c>
      <c r="F14" s="4">
        <v>44544</v>
      </c>
      <c r="G14" t="s">
        <v>21</v>
      </c>
      <c r="H14">
        <v>96800</v>
      </c>
    </row>
    <row r="15" spans="2:13" x14ac:dyDescent="0.35">
      <c r="B15" t="s">
        <v>123</v>
      </c>
      <c r="C15" t="s">
        <v>15</v>
      </c>
      <c r="D15">
        <v>28</v>
      </c>
      <c r="E15" t="s">
        <v>13</v>
      </c>
      <c r="F15" s="4">
        <v>43980</v>
      </c>
      <c r="G15" t="s">
        <v>21</v>
      </c>
      <c r="H15">
        <v>48170</v>
      </c>
    </row>
    <row r="16" spans="2:13" x14ac:dyDescent="0.35">
      <c r="B16" t="s">
        <v>140</v>
      </c>
      <c r="C16" t="s">
        <v>15</v>
      </c>
      <c r="D16">
        <v>21</v>
      </c>
      <c r="E16" t="s">
        <v>16</v>
      </c>
      <c r="F16" s="4">
        <v>44042</v>
      </c>
      <c r="G16" t="s">
        <v>9</v>
      </c>
      <c r="H16">
        <v>37920</v>
      </c>
    </row>
    <row r="17" spans="2:8" x14ac:dyDescent="0.35">
      <c r="B17" t="s">
        <v>178</v>
      </c>
      <c r="C17" t="s">
        <v>15</v>
      </c>
      <c r="D17">
        <v>34</v>
      </c>
      <c r="E17" t="s">
        <v>16</v>
      </c>
      <c r="F17" s="4">
        <v>44642</v>
      </c>
      <c r="G17" t="s">
        <v>9</v>
      </c>
      <c r="H17">
        <v>112650</v>
      </c>
    </row>
    <row r="18" spans="2:8" x14ac:dyDescent="0.35">
      <c r="B18" t="s">
        <v>165</v>
      </c>
      <c r="C18" t="s">
        <v>8</v>
      </c>
      <c r="D18">
        <v>34</v>
      </c>
      <c r="E18" t="s">
        <v>24</v>
      </c>
      <c r="F18" s="4">
        <v>44660</v>
      </c>
      <c r="G18" t="s">
        <v>19</v>
      </c>
      <c r="H18">
        <v>49630</v>
      </c>
    </row>
    <row r="19" spans="2:8" x14ac:dyDescent="0.35">
      <c r="B19" t="s">
        <v>199</v>
      </c>
      <c r="C19" t="s">
        <v>15</v>
      </c>
      <c r="D19">
        <v>36</v>
      </c>
      <c r="E19" t="s">
        <v>16</v>
      </c>
      <c r="F19" s="4">
        <v>43958</v>
      </c>
      <c r="G19" t="s">
        <v>12</v>
      </c>
      <c r="H19">
        <v>118840</v>
      </c>
    </row>
    <row r="20" spans="2:8" x14ac:dyDescent="0.35">
      <c r="B20" t="s">
        <v>159</v>
      </c>
      <c r="C20" t="s">
        <v>15</v>
      </c>
      <c r="D20">
        <v>30</v>
      </c>
      <c r="E20" t="s">
        <v>16</v>
      </c>
      <c r="F20" s="4">
        <v>44789</v>
      </c>
      <c r="G20" t="s">
        <v>12</v>
      </c>
      <c r="H20">
        <v>69710</v>
      </c>
    </row>
    <row r="21" spans="2:8" x14ac:dyDescent="0.35">
      <c r="B21" t="s">
        <v>197</v>
      </c>
      <c r="C21" t="s">
        <v>15</v>
      </c>
      <c r="D21">
        <v>20</v>
      </c>
      <c r="E21" t="s">
        <v>16</v>
      </c>
      <c r="F21" s="4">
        <v>44683</v>
      </c>
      <c r="G21" t="s">
        <v>9</v>
      </c>
      <c r="H21">
        <v>79570</v>
      </c>
    </row>
    <row r="22" spans="2:8" x14ac:dyDescent="0.35">
      <c r="B22" t="s">
        <v>154</v>
      </c>
      <c r="C22" t="s">
        <v>8</v>
      </c>
      <c r="D22">
        <v>22</v>
      </c>
      <c r="E22" t="s">
        <v>13</v>
      </c>
      <c r="F22" s="4">
        <v>44388</v>
      </c>
      <c r="G22" t="s">
        <v>9</v>
      </c>
      <c r="H22">
        <v>76900</v>
      </c>
    </row>
    <row r="23" spans="2:8" x14ac:dyDescent="0.35">
      <c r="B23" t="s">
        <v>182</v>
      </c>
      <c r="C23" t="s">
        <v>15</v>
      </c>
      <c r="D23">
        <v>27</v>
      </c>
      <c r="E23" t="s">
        <v>16</v>
      </c>
      <c r="F23" s="4">
        <v>44073</v>
      </c>
      <c r="G23" t="s">
        <v>19</v>
      </c>
      <c r="H23">
        <v>54970</v>
      </c>
    </row>
    <row r="24" spans="2:8" x14ac:dyDescent="0.35">
      <c r="B24" t="s">
        <v>118</v>
      </c>
      <c r="C24" t="s">
        <v>15</v>
      </c>
      <c r="D24">
        <v>37</v>
      </c>
      <c r="E24" t="s">
        <v>24</v>
      </c>
      <c r="F24" s="4">
        <v>44277</v>
      </c>
      <c r="G24" t="s">
        <v>12</v>
      </c>
      <c r="H24">
        <v>88050</v>
      </c>
    </row>
    <row r="25" spans="2:8" x14ac:dyDescent="0.35">
      <c r="B25" t="s">
        <v>192</v>
      </c>
      <c r="C25" t="s">
        <v>15</v>
      </c>
      <c r="D25">
        <v>43</v>
      </c>
      <c r="E25" t="s">
        <v>16</v>
      </c>
      <c r="F25" s="4">
        <v>44558</v>
      </c>
      <c r="G25" t="s">
        <v>19</v>
      </c>
      <c r="H25">
        <v>36040</v>
      </c>
    </row>
    <row r="26" spans="2:8" x14ac:dyDescent="0.35">
      <c r="B26" t="s">
        <v>111</v>
      </c>
      <c r="C26" t="s">
        <v>8</v>
      </c>
      <c r="D26">
        <v>42</v>
      </c>
      <c r="E26" t="s">
        <v>10</v>
      </c>
      <c r="F26" s="4">
        <v>44718</v>
      </c>
      <c r="G26" t="s">
        <v>9</v>
      </c>
      <c r="H26">
        <v>75000</v>
      </c>
    </row>
    <row r="27" spans="2:8" x14ac:dyDescent="0.35">
      <c r="B27" t="s">
        <v>149</v>
      </c>
      <c r="C27" t="s">
        <v>15</v>
      </c>
      <c r="D27">
        <v>35</v>
      </c>
      <c r="E27" t="s">
        <v>16</v>
      </c>
      <c r="F27" s="4">
        <v>44666</v>
      </c>
      <c r="G27" t="s">
        <v>9</v>
      </c>
      <c r="H27">
        <v>40400</v>
      </c>
    </row>
    <row r="28" spans="2:8" x14ac:dyDescent="0.35">
      <c r="B28" t="s">
        <v>196</v>
      </c>
      <c r="C28" t="s">
        <v>15</v>
      </c>
      <c r="D28">
        <v>24</v>
      </c>
      <c r="E28" t="s">
        <v>16</v>
      </c>
      <c r="F28" s="4">
        <v>44625</v>
      </c>
      <c r="G28" t="s">
        <v>12</v>
      </c>
      <c r="H28">
        <v>100420</v>
      </c>
    </row>
    <row r="29" spans="2:8" x14ac:dyDescent="0.35">
      <c r="B29" t="s">
        <v>120</v>
      </c>
      <c r="C29" t="s">
        <v>8</v>
      </c>
      <c r="D29">
        <v>31</v>
      </c>
      <c r="E29" t="s">
        <v>16</v>
      </c>
      <c r="F29" s="4">
        <v>44604</v>
      </c>
      <c r="G29" t="s">
        <v>12</v>
      </c>
      <c r="H29">
        <v>58100</v>
      </c>
    </row>
    <row r="30" spans="2:8" x14ac:dyDescent="0.35">
      <c r="B30" t="s">
        <v>114</v>
      </c>
      <c r="C30" t="s">
        <v>8</v>
      </c>
      <c r="D30">
        <v>44</v>
      </c>
      <c r="E30" t="s">
        <v>16</v>
      </c>
      <c r="F30" s="4">
        <v>44985</v>
      </c>
      <c r="G30" t="s">
        <v>12</v>
      </c>
      <c r="H30">
        <v>114870</v>
      </c>
    </row>
    <row r="31" spans="2:8" x14ac:dyDescent="0.35">
      <c r="B31" t="s">
        <v>158</v>
      </c>
      <c r="C31" t="s">
        <v>8</v>
      </c>
      <c r="D31">
        <v>32</v>
      </c>
      <c r="E31" t="s">
        <v>16</v>
      </c>
      <c r="F31" s="4">
        <v>44549</v>
      </c>
      <c r="G31" t="s">
        <v>9</v>
      </c>
      <c r="H31">
        <v>41570</v>
      </c>
    </row>
    <row r="32" spans="2:8" x14ac:dyDescent="0.35">
      <c r="B32" t="s">
        <v>173</v>
      </c>
      <c r="C32" t="s">
        <v>8</v>
      </c>
      <c r="D32">
        <v>30</v>
      </c>
      <c r="E32" t="s">
        <v>16</v>
      </c>
      <c r="F32" s="4">
        <v>44800</v>
      </c>
      <c r="G32" t="s">
        <v>9</v>
      </c>
      <c r="H32">
        <v>112570</v>
      </c>
    </row>
    <row r="33" spans="2:8" x14ac:dyDescent="0.35">
      <c r="B33" t="s">
        <v>151</v>
      </c>
      <c r="C33" t="s">
        <v>15</v>
      </c>
      <c r="D33">
        <v>26</v>
      </c>
      <c r="E33" t="s">
        <v>16</v>
      </c>
      <c r="F33" s="4">
        <v>44164</v>
      </c>
      <c r="G33" t="s">
        <v>9</v>
      </c>
      <c r="H33">
        <v>47360</v>
      </c>
    </row>
    <row r="34" spans="2:8" x14ac:dyDescent="0.35">
      <c r="B34" t="s">
        <v>126</v>
      </c>
      <c r="C34" t="s">
        <v>8</v>
      </c>
      <c r="D34">
        <v>21</v>
      </c>
      <c r="E34" t="s">
        <v>16</v>
      </c>
      <c r="F34" s="4">
        <v>44256</v>
      </c>
      <c r="G34" t="s">
        <v>21</v>
      </c>
      <c r="H34">
        <v>65920</v>
      </c>
    </row>
    <row r="35" spans="2:8" x14ac:dyDescent="0.35">
      <c r="B35" t="s">
        <v>200</v>
      </c>
      <c r="C35" t="s">
        <v>8</v>
      </c>
      <c r="D35">
        <v>28</v>
      </c>
      <c r="E35" t="s">
        <v>16</v>
      </c>
      <c r="F35" s="4">
        <v>44571</v>
      </c>
      <c r="G35" t="s">
        <v>9</v>
      </c>
      <c r="H35">
        <v>99970</v>
      </c>
    </row>
    <row r="36" spans="2:8" x14ac:dyDescent="0.35">
      <c r="B36" t="s">
        <v>133</v>
      </c>
      <c r="C36" t="s">
        <v>8</v>
      </c>
      <c r="D36">
        <v>25</v>
      </c>
      <c r="E36" t="s">
        <v>13</v>
      </c>
      <c r="F36" s="4">
        <v>44633</v>
      </c>
      <c r="G36" t="s">
        <v>12</v>
      </c>
      <c r="H36">
        <v>80700</v>
      </c>
    </row>
    <row r="37" spans="2:8" x14ac:dyDescent="0.35">
      <c r="B37" t="s">
        <v>155</v>
      </c>
      <c r="C37" t="s">
        <v>15</v>
      </c>
      <c r="D37">
        <v>24</v>
      </c>
      <c r="E37" t="s">
        <v>24</v>
      </c>
      <c r="F37" s="4">
        <v>44375</v>
      </c>
      <c r="G37" t="s">
        <v>21</v>
      </c>
      <c r="H37">
        <v>52610</v>
      </c>
    </row>
    <row r="38" spans="2:8" x14ac:dyDescent="0.35">
      <c r="B38" t="s">
        <v>180</v>
      </c>
      <c r="C38" t="s">
        <v>15</v>
      </c>
      <c r="D38">
        <v>29</v>
      </c>
      <c r="E38" t="s">
        <v>24</v>
      </c>
      <c r="F38" s="4">
        <v>44119</v>
      </c>
      <c r="G38" t="s">
        <v>12</v>
      </c>
      <c r="H38">
        <v>112110</v>
      </c>
    </row>
    <row r="39" spans="2:8" x14ac:dyDescent="0.35">
      <c r="B39" t="s">
        <v>152</v>
      </c>
      <c r="C39" t="s">
        <v>8</v>
      </c>
      <c r="D39">
        <v>27</v>
      </c>
      <c r="E39" t="s">
        <v>16</v>
      </c>
      <c r="F39" s="4">
        <v>44061</v>
      </c>
      <c r="G39" t="s">
        <v>56</v>
      </c>
      <c r="H39">
        <v>119110</v>
      </c>
    </row>
    <row r="40" spans="2:8" x14ac:dyDescent="0.35">
      <c r="B40" t="s">
        <v>150</v>
      </c>
      <c r="C40" t="s">
        <v>15</v>
      </c>
      <c r="D40">
        <v>22</v>
      </c>
      <c r="E40" t="s">
        <v>13</v>
      </c>
      <c r="F40" s="4">
        <v>44384</v>
      </c>
      <c r="G40" t="s">
        <v>19</v>
      </c>
      <c r="H40">
        <v>112780</v>
      </c>
    </row>
    <row r="41" spans="2:8" x14ac:dyDescent="0.35">
      <c r="B41" t="s">
        <v>175</v>
      </c>
      <c r="C41" t="s">
        <v>8</v>
      </c>
      <c r="D41">
        <v>36</v>
      </c>
      <c r="E41" t="s">
        <v>16</v>
      </c>
      <c r="F41" s="4">
        <v>44023</v>
      </c>
      <c r="G41" t="s">
        <v>9</v>
      </c>
      <c r="H41">
        <v>114890</v>
      </c>
    </row>
    <row r="42" spans="2:8" x14ac:dyDescent="0.35">
      <c r="B42" t="s">
        <v>146</v>
      </c>
      <c r="C42" t="s">
        <v>15</v>
      </c>
      <c r="D42">
        <v>27</v>
      </c>
      <c r="E42" t="s">
        <v>16</v>
      </c>
      <c r="F42" s="4">
        <v>44506</v>
      </c>
      <c r="G42" t="s">
        <v>21</v>
      </c>
      <c r="H42">
        <v>48980</v>
      </c>
    </row>
    <row r="43" spans="2:8" x14ac:dyDescent="0.35">
      <c r="B43" t="s">
        <v>170</v>
      </c>
      <c r="C43" t="s">
        <v>15</v>
      </c>
      <c r="D43">
        <v>21</v>
      </c>
      <c r="E43" t="s">
        <v>16</v>
      </c>
      <c r="F43" s="4">
        <v>44180</v>
      </c>
      <c r="G43" t="s">
        <v>56</v>
      </c>
      <c r="H43">
        <v>75880</v>
      </c>
    </row>
    <row r="44" spans="2:8" x14ac:dyDescent="0.35">
      <c r="B44" t="s">
        <v>167</v>
      </c>
      <c r="C44" t="s">
        <v>8</v>
      </c>
      <c r="D44">
        <v>28</v>
      </c>
      <c r="E44" t="s">
        <v>16</v>
      </c>
      <c r="F44" s="4">
        <v>44296</v>
      </c>
      <c r="G44" t="s">
        <v>19</v>
      </c>
      <c r="H44">
        <v>53240</v>
      </c>
    </row>
    <row r="45" spans="2:8" x14ac:dyDescent="0.35">
      <c r="B45" t="s">
        <v>122</v>
      </c>
      <c r="C45" t="s">
        <v>8</v>
      </c>
      <c r="D45">
        <v>34</v>
      </c>
      <c r="E45" t="s">
        <v>16</v>
      </c>
      <c r="F45" s="4">
        <v>44397</v>
      </c>
      <c r="G45" t="s">
        <v>21</v>
      </c>
      <c r="H45">
        <v>85000</v>
      </c>
    </row>
    <row r="46" spans="2:8" x14ac:dyDescent="0.35">
      <c r="B46" t="s">
        <v>179</v>
      </c>
      <c r="C46" t="s">
        <v>8</v>
      </c>
      <c r="D46">
        <v>21</v>
      </c>
      <c r="E46" t="s">
        <v>16</v>
      </c>
      <c r="F46" s="4">
        <v>44619</v>
      </c>
      <c r="G46" t="s">
        <v>12</v>
      </c>
      <c r="H46">
        <v>33920</v>
      </c>
    </row>
    <row r="47" spans="2:8" x14ac:dyDescent="0.35">
      <c r="B47" t="s">
        <v>188</v>
      </c>
      <c r="C47" t="s">
        <v>8</v>
      </c>
      <c r="D47">
        <v>33</v>
      </c>
      <c r="E47" t="s">
        <v>16</v>
      </c>
      <c r="F47" s="4">
        <v>44253</v>
      </c>
      <c r="G47" t="s">
        <v>12</v>
      </c>
      <c r="H47">
        <v>75280</v>
      </c>
    </row>
    <row r="48" spans="2:8" x14ac:dyDescent="0.35">
      <c r="B48" t="s">
        <v>130</v>
      </c>
      <c r="C48" t="s">
        <v>8</v>
      </c>
      <c r="D48">
        <v>34</v>
      </c>
      <c r="E48" t="s">
        <v>16</v>
      </c>
      <c r="F48" s="4">
        <v>44594</v>
      </c>
      <c r="G48" t="s">
        <v>21</v>
      </c>
      <c r="H48">
        <v>58940</v>
      </c>
    </row>
    <row r="49" spans="2:8" x14ac:dyDescent="0.35">
      <c r="B49" t="s">
        <v>136</v>
      </c>
      <c r="C49" t="s">
        <v>8</v>
      </c>
      <c r="D49">
        <v>28</v>
      </c>
      <c r="E49" t="s">
        <v>16</v>
      </c>
      <c r="F49" s="4">
        <v>44425</v>
      </c>
      <c r="G49" t="s">
        <v>9</v>
      </c>
      <c r="H49">
        <v>104770</v>
      </c>
    </row>
    <row r="50" spans="2:8" x14ac:dyDescent="0.35">
      <c r="B50" t="s">
        <v>125</v>
      </c>
      <c r="C50" t="s">
        <v>15</v>
      </c>
      <c r="D50">
        <v>21</v>
      </c>
      <c r="E50" t="s">
        <v>16</v>
      </c>
      <c r="F50" s="4">
        <v>44701</v>
      </c>
      <c r="G50" t="s">
        <v>9</v>
      </c>
      <c r="H50">
        <v>57090</v>
      </c>
    </row>
    <row r="51" spans="2:8" x14ac:dyDescent="0.35">
      <c r="B51" t="s">
        <v>160</v>
      </c>
      <c r="C51" t="s">
        <v>15</v>
      </c>
      <c r="D51">
        <v>27</v>
      </c>
      <c r="E51" t="s">
        <v>13</v>
      </c>
      <c r="F51" s="4">
        <v>44174</v>
      </c>
      <c r="G51" t="s">
        <v>21</v>
      </c>
      <c r="H51">
        <v>91650</v>
      </c>
    </row>
    <row r="52" spans="2:8" x14ac:dyDescent="0.35">
      <c r="B52" t="s">
        <v>183</v>
      </c>
      <c r="C52" t="s">
        <v>15</v>
      </c>
      <c r="D52">
        <v>42</v>
      </c>
      <c r="E52" t="s">
        <v>24</v>
      </c>
      <c r="F52" s="4">
        <v>44670</v>
      </c>
      <c r="G52" t="s">
        <v>21</v>
      </c>
      <c r="H52">
        <v>70270</v>
      </c>
    </row>
    <row r="53" spans="2:8" x14ac:dyDescent="0.35">
      <c r="B53" t="s">
        <v>129</v>
      </c>
      <c r="C53" t="s">
        <v>8</v>
      </c>
      <c r="D53">
        <v>28</v>
      </c>
      <c r="E53" t="s">
        <v>16</v>
      </c>
      <c r="F53" s="4">
        <v>44124</v>
      </c>
      <c r="G53" t="s">
        <v>21</v>
      </c>
      <c r="H53">
        <v>75970</v>
      </c>
    </row>
    <row r="54" spans="2:8" x14ac:dyDescent="0.35">
      <c r="B54" t="s">
        <v>112</v>
      </c>
      <c r="D54">
        <v>27</v>
      </c>
      <c r="E54" t="s">
        <v>13</v>
      </c>
      <c r="F54" s="4">
        <v>44212</v>
      </c>
      <c r="G54" t="s">
        <v>12</v>
      </c>
      <c r="H54">
        <v>90700</v>
      </c>
    </row>
    <row r="55" spans="2:8" x14ac:dyDescent="0.35">
      <c r="B55" t="s">
        <v>131</v>
      </c>
      <c r="C55" t="s">
        <v>15</v>
      </c>
      <c r="D55">
        <v>30</v>
      </c>
      <c r="E55" t="s">
        <v>16</v>
      </c>
      <c r="F55" s="4">
        <v>44607</v>
      </c>
      <c r="G55" t="s">
        <v>9</v>
      </c>
      <c r="H55">
        <v>60570</v>
      </c>
    </row>
    <row r="56" spans="2:8" x14ac:dyDescent="0.35">
      <c r="B56" t="s">
        <v>134</v>
      </c>
      <c r="C56" t="s">
        <v>15</v>
      </c>
      <c r="D56">
        <v>33</v>
      </c>
      <c r="E56" t="s">
        <v>16</v>
      </c>
      <c r="F56" s="4">
        <v>44103</v>
      </c>
      <c r="G56" t="s">
        <v>9</v>
      </c>
      <c r="H56">
        <v>115920</v>
      </c>
    </row>
    <row r="57" spans="2:8" x14ac:dyDescent="0.35">
      <c r="B57" t="s">
        <v>186</v>
      </c>
      <c r="C57" t="s">
        <v>8</v>
      </c>
      <c r="D57">
        <v>33</v>
      </c>
      <c r="E57" t="s">
        <v>16</v>
      </c>
      <c r="F57" s="4">
        <v>44006</v>
      </c>
      <c r="G57" t="s">
        <v>21</v>
      </c>
      <c r="H57">
        <v>65360</v>
      </c>
    </row>
    <row r="58" spans="2:8" x14ac:dyDescent="0.35">
      <c r="B58" t="s">
        <v>116</v>
      </c>
      <c r="D58">
        <v>30</v>
      </c>
      <c r="E58" t="s">
        <v>16</v>
      </c>
      <c r="F58" s="4">
        <v>44535</v>
      </c>
      <c r="G58" t="s">
        <v>21</v>
      </c>
      <c r="H58">
        <v>64000</v>
      </c>
    </row>
    <row r="59" spans="2:8" x14ac:dyDescent="0.35">
      <c r="B59" t="s">
        <v>195</v>
      </c>
      <c r="C59" t="s">
        <v>8</v>
      </c>
      <c r="D59">
        <v>34</v>
      </c>
      <c r="E59" t="s">
        <v>16</v>
      </c>
      <c r="F59" s="4">
        <v>44383</v>
      </c>
      <c r="G59" t="s">
        <v>21</v>
      </c>
      <c r="H59">
        <v>92450</v>
      </c>
    </row>
    <row r="60" spans="2:8" x14ac:dyDescent="0.35">
      <c r="B60" t="s">
        <v>113</v>
      </c>
      <c r="C60" t="s">
        <v>15</v>
      </c>
      <c r="D60">
        <v>31</v>
      </c>
      <c r="E60" t="s">
        <v>16</v>
      </c>
      <c r="F60" s="4">
        <v>44450</v>
      </c>
      <c r="G60" t="s">
        <v>12</v>
      </c>
      <c r="H60">
        <v>48950</v>
      </c>
    </row>
    <row r="61" spans="2:8" x14ac:dyDescent="0.35">
      <c r="B61" t="s">
        <v>185</v>
      </c>
      <c r="C61" t="s">
        <v>8</v>
      </c>
      <c r="D61">
        <v>27</v>
      </c>
      <c r="E61" t="s">
        <v>16</v>
      </c>
      <c r="F61" s="4">
        <v>44625</v>
      </c>
      <c r="G61" t="s">
        <v>12</v>
      </c>
      <c r="H61">
        <v>83750</v>
      </c>
    </row>
    <row r="62" spans="2:8" x14ac:dyDescent="0.35">
      <c r="B62" t="s">
        <v>166</v>
      </c>
      <c r="C62" t="s">
        <v>8</v>
      </c>
      <c r="D62">
        <v>40</v>
      </c>
      <c r="E62" t="s">
        <v>16</v>
      </c>
      <c r="F62" s="4">
        <v>44276</v>
      </c>
      <c r="G62" t="s">
        <v>12</v>
      </c>
      <c r="H62">
        <v>87620</v>
      </c>
    </row>
    <row r="63" spans="2:8" x14ac:dyDescent="0.35">
      <c r="B63" t="s">
        <v>184</v>
      </c>
      <c r="C63" t="s">
        <v>8</v>
      </c>
      <c r="D63">
        <v>20</v>
      </c>
      <c r="E63" t="s">
        <v>24</v>
      </c>
      <c r="F63" s="4">
        <v>44476</v>
      </c>
      <c r="G63" t="s">
        <v>19</v>
      </c>
      <c r="H63">
        <v>68900</v>
      </c>
    </row>
    <row r="64" spans="2:8" x14ac:dyDescent="0.35">
      <c r="B64" t="s">
        <v>157</v>
      </c>
      <c r="C64" t="s">
        <v>15</v>
      </c>
      <c r="D64">
        <v>32</v>
      </c>
      <c r="E64" t="s">
        <v>16</v>
      </c>
      <c r="F64" s="4">
        <v>44403</v>
      </c>
      <c r="G64" t="s">
        <v>19</v>
      </c>
      <c r="H64">
        <v>53540</v>
      </c>
    </row>
    <row r="65" spans="2:8" x14ac:dyDescent="0.35">
      <c r="B65" t="s">
        <v>172</v>
      </c>
      <c r="C65" t="s">
        <v>15</v>
      </c>
      <c r="D65">
        <v>28</v>
      </c>
      <c r="E65" t="s">
        <v>42</v>
      </c>
      <c r="F65" s="4">
        <v>44758</v>
      </c>
      <c r="G65" t="s">
        <v>19</v>
      </c>
      <c r="H65">
        <v>43510</v>
      </c>
    </row>
    <row r="66" spans="2:8" x14ac:dyDescent="0.35">
      <c r="B66" t="s">
        <v>127</v>
      </c>
      <c r="C66" t="s">
        <v>8</v>
      </c>
      <c r="D66">
        <v>38</v>
      </c>
      <c r="E66" t="s">
        <v>10</v>
      </c>
      <c r="F66" s="4">
        <v>44316</v>
      </c>
      <c r="G66" t="s">
        <v>19</v>
      </c>
      <c r="H66">
        <v>109160</v>
      </c>
    </row>
    <row r="67" spans="2:8" x14ac:dyDescent="0.35">
      <c r="B67" t="s">
        <v>198</v>
      </c>
      <c r="C67" t="s">
        <v>15</v>
      </c>
      <c r="D67">
        <v>40</v>
      </c>
      <c r="E67" t="s">
        <v>16</v>
      </c>
      <c r="F67" s="4">
        <v>44204</v>
      </c>
      <c r="G67" t="s">
        <v>9</v>
      </c>
      <c r="H67">
        <v>99750</v>
      </c>
    </row>
    <row r="68" spans="2:8" x14ac:dyDescent="0.35">
      <c r="B68" t="s">
        <v>124</v>
      </c>
      <c r="C68" t="s">
        <v>8</v>
      </c>
      <c r="D68">
        <v>31</v>
      </c>
      <c r="E68" t="s">
        <v>16</v>
      </c>
      <c r="F68" s="4">
        <v>44084</v>
      </c>
      <c r="G68" t="s">
        <v>12</v>
      </c>
      <c r="H68">
        <v>41980</v>
      </c>
    </row>
    <row r="69" spans="2:8" x14ac:dyDescent="0.35">
      <c r="B69" t="s">
        <v>187</v>
      </c>
      <c r="C69" t="s">
        <v>15</v>
      </c>
      <c r="D69">
        <v>36</v>
      </c>
      <c r="E69" t="s">
        <v>16</v>
      </c>
      <c r="F69" s="4">
        <v>44272</v>
      </c>
      <c r="G69" t="s">
        <v>21</v>
      </c>
      <c r="H69">
        <v>71380</v>
      </c>
    </row>
    <row r="70" spans="2:8" x14ac:dyDescent="0.35">
      <c r="B70" t="s">
        <v>191</v>
      </c>
      <c r="C70" t="s">
        <v>15</v>
      </c>
      <c r="D70">
        <v>27</v>
      </c>
      <c r="E70" t="s">
        <v>42</v>
      </c>
      <c r="F70" s="4">
        <v>44547</v>
      </c>
      <c r="G70" t="s">
        <v>9</v>
      </c>
      <c r="H70">
        <v>113280</v>
      </c>
    </row>
    <row r="71" spans="2:8" x14ac:dyDescent="0.35">
      <c r="B71" t="s">
        <v>181</v>
      </c>
      <c r="C71" t="s">
        <v>8</v>
      </c>
      <c r="D71">
        <v>33</v>
      </c>
      <c r="E71" t="s">
        <v>16</v>
      </c>
      <c r="F71" s="4">
        <v>44747</v>
      </c>
      <c r="G71" t="s">
        <v>21</v>
      </c>
      <c r="H71">
        <v>86570</v>
      </c>
    </row>
    <row r="72" spans="2:8" x14ac:dyDescent="0.35">
      <c r="B72" t="s">
        <v>139</v>
      </c>
      <c r="C72" t="s">
        <v>15</v>
      </c>
      <c r="D72">
        <v>26</v>
      </c>
      <c r="E72" t="s">
        <v>16</v>
      </c>
      <c r="F72" s="4">
        <v>44350</v>
      </c>
      <c r="G72" t="s">
        <v>9</v>
      </c>
      <c r="H72">
        <v>53540</v>
      </c>
    </row>
    <row r="73" spans="2:8" x14ac:dyDescent="0.35">
      <c r="B73" t="s">
        <v>190</v>
      </c>
      <c r="C73" t="s">
        <v>15</v>
      </c>
      <c r="D73">
        <v>37</v>
      </c>
      <c r="E73" t="s">
        <v>16</v>
      </c>
      <c r="F73" s="4">
        <v>44640</v>
      </c>
      <c r="G73" t="s">
        <v>12</v>
      </c>
      <c r="H73">
        <v>69070</v>
      </c>
    </row>
    <row r="74" spans="2:8" x14ac:dyDescent="0.35">
      <c r="B74" t="s">
        <v>121</v>
      </c>
      <c r="C74" t="s">
        <v>8</v>
      </c>
      <c r="D74">
        <v>30</v>
      </c>
      <c r="E74" t="s">
        <v>24</v>
      </c>
      <c r="F74" s="4">
        <v>44328</v>
      </c>
      <c r="G74" t="s">
        <v>21</v>
      </c>
      <c r="H74">
        <v>67910</v>
      </c>
    </row>
    <row r="75" spans="2:8" x14ac:dyDescent="0.35">
      <c r="B75" t="s">
        <v>119</v>
      </c>
      <c r="C75" t="s">
        <v>15</v>
      </c>
      <c r="D75">
        <v>30</v>
      </c>
      <c r="E75" t="s">
        <v>16</v>
      </c>
      <c r="F75" s="4">
        <v>44214</v>
      </c>
      <c r="G75" t="s">
        <v>12</v>
      </c>
      <c r="H75">
        <v>69120</v>
      </c>
    </row>
    <row r="76" spans="2:8" x14ac:dyDescent="0.35">
      <c r="B76" t="s">
        <v>132</v>
      </c>
      <c r="C76" t="s">
        <v>8</v>
      </c>
      <c r="D76">
        <v>34</v>
      </c>
      <c r="E76" t="s">
        <v>16</v>
      </c>
      <c r="F76" s="4">
        <v>44550</v>
      </c>
      <c r="G76" t="s">
        <v>21</v>
      </c>
      <c r="H76">
        <v>60130</v>
      </c>
    </row>
    <row r="77" spans="2:8" x14ac:dyDescent="0.35">
      <c r="B77" t="s">
        <v>161</v>
      </c>
      <c r="C77" t="s">
        <v>15</v>
      </c>
      <c r="D77">
        <v>23</v>
      </c>
      <c r="E77" t="s">
        <v>16</v>
      </c>
      <c r="F77" s="4">
        <v>44378</v>
      </c>
      <c r="G77" t="s">
        <v>9</v>
      </c>
      <c r="H77">
        <v>106460</v>
      </c>
    </row>
    <row r="78" spans="2:8" x14ac:dyDescent="0.35">
      <c r="B78" t="s">
        <v>148</v>
      </c>
      <c r="C78" t="s">
        <v>8</v>
      </c>
      <c r="D78">
        <v>37</v>
      </c>
      <c r="E78" t="s">
        <v>16</v>
      </c>
      <c r="F78" s="4">
        <v>44389</v>
      </c>
      <c r="G78" t="s">
        <v>56</v>
      </c>
      <c r="H78">
        <v>118100</v>
      </c>
    </row>
    <row r="79" spans="2:8" x14ac:dyDescent="0.35">
      <c r="B79" t="s">
        <v>164</v>
      </c>
      <c r="C79" t="s">
        <v>8</v>
      </c>
      <c r="D79">
        <v>36</v>
      </c>
      <c r="E79" t="s">
        <v>16</v>
      </c>
      <c r="F79" s="4">
        <v>44468</v>
      </c>
      <c r="G79" t="s">
        <v>9</v>
      </c>
      <c r="H79">
        <v>78390</v>
      </c>
    </row>
    <row r="80" spans="2:8" x14ac:dyDescent="0.35">
      <c r="B80" t="s">
        <v>147</v>
      </c>
      <c r="C80" t="s">
        <v>8</v>
      </c>
      <c r="D80">
        <v>30</v>
      </c>
      <c r="E80" t="s">
        <v>16</v>
      </c>
      <c r="F80" s="4">
        <v>44789</v>
      </c>
      <c r="G80" t="s">
        <v>9</v>
      </c>
      <c r="H80">
        <v>114180</v>
      </c>
    </row>
    <row r="81" spans="2:8" x14ac:dyDescent="0.35">
      <c r="B81" t="s">
        <v>189</v>
      </c>
      <c r="C81" t="s">
        <v>8</v>
      </c>
      <c r="D81">
        <v>28</v>
      </c>
      <c r="E81" t="s">
        <v>16</v>
      </c>
      <c r="F81" s="4">
        <v>44590</v>
      </c>
      <c r="G81" t="s">
        <v>9</v>
      </c>
      <c r="H81">
        <v>104120</v>
      </c>
    </row>
    <row r="82" spans="2:8" x14ac:dyDescent="0.35">
      <c r="B82" t="s">
        <v>138</v>
      </c>
      <c r="C82" t="s">
        <v>15</v>
      </c>
      <c r="D82">
        <v>30</v>
      </c>
      <c r="E82" t="s">
        <v>16</v>
      </c>
      <c r="F82" s="4">
        <v>44640</v>
      </c>
      <c r="G82" t="s">
        <v>9</v>
      </c>
      <c r="H82">
        <v>67950</v>
      </c>
    </row>
    <row r="83" spans="2:8" x14ac:dyDescent="0.35">
      <c r="B83" t="s">
        <v>137</v>
      </c>
      <c r="C83" t="s">
        <v>8</v>
      </c>
      <c r="D83">
        <v>29</v>
      </c>
      <c r="E83" t="s">
        <v>16</v>
      </c>
      <c r="F83" s="4">
        <v>43962</v>
      </c>
      <c r="G83" t="s">
        <v>12</v>
      </c>
      <c r="H83">
        <v>34980</v>
      </c>
    </row>
    <row r="84" spans="2:8" x14ac:dyDescent="0.35">
      <c r="B84" t="s">
        <v>153</v>
      </c>
      <c r="C84" t="s">
        <v>8</v>
      </c>
      <c r="D84">
        <v>24</v>
      </c>
      <c r="E84" t="s">
        <v>16</v>
      </c>
      <c r="F84" s="4">
        <v>44087</v>
      </c>
      <c r="G84" t="s">
        <v>12</v>
      </c>
      <c r="H84">
        <v>62780</v>
      </c>
    </row>
    <row r="85" spans="2:8" x14ac:dyDescent="0.35">
      <c r="B85" t="s">
        <v>117</v>
      </c>
      <c r="C85" t="s">
        <v>15</v>
      </c>
      <c r="D85">
        <v>20</v>
      </c>
      <c r="E85" t="s">
        <v>16</v>
      </c>
      <c r="F85" s="4">
        <v>44397</v>
      </c>
      <c r="G85" t="s">
        <v>12</v>
      </c>
      <c r="H85">
        <v>107700</v>
      </c>
    </row>
    <row r="86" spans="2:8" x14ac:dyDescent="0.35">
      <c r="B86" t="s">
        <v>168</v>
      </c>
      <c r="C86" t="s">
        <v>15</v>
      </c>
      <c r="D86">
        <v>25</v>
      </c>
      <c r="E86" t="s">
        <v>16</v>
      </c>
      <c r="F86" s="4">
        <v>44322</v>
      </c>
      <c r="G86" t="s">
        <v>19</v>
      </c>
      <c r="H86">
        <v>65700</v>
      </c>
    </row>
    <row r="87" spans="2:8" x14ac:dyDescent="0.35">
      <c r="B87" t="s">
        <v>135</v>
      </c>
      <c r="C87" t="s">
        <v>8</v>
      </c>
      <c r="D87">
        <v>33</v>
      </c>
      <c r="E87" t="s">
        <v>42</v>
      </c>
      <c r="F87" s="4">
        <v>44313</v>
      </c>
      <c r="G87" t="s">
        <v>12</v>
      </c>
      <c r="H87">
        <v>75480</v>
      </c>
    </row>
    <row r="88" spans="2:8" x14ac:dyDescent="0.35">
      <c r="B88" t="s">
        <v>174</v>
      </c>
      <c r="C88" t="s">
        <v>15</v>
      </c>
      <c r="D88">
        <v>33</v>
      </c>
      <c r="E88" t="s">
        <v>16</v>
      </c>
      <c r="F88" s="4">
        <v>44448</v>
      </c>
      <c r="G88" t="s">
        <v>12</v>
      </c>
      <c r="H88">
        <v>53870</v>
      </c>
    </row>
    <row r="89" spans="2:8" x14ac:dyDescent="0.35">
      <c r="B89" t="s">
        <v>141</v>
      </c>
      <c r="C89" t="s">
        <v>8</v>
      </c>
      <c r="D89">
        <v>36</v>
      </c>
      <c r="E89" t="s">
        <v>16</v>
      </c>
      <c r="F89" s="4">
        <v>44433</v>
      </c>
      <c r="G89" t="s">
        <v>19</v>
      </c>
      <c r="H89">
        <v>78540</v>
      </c>
    </row>
    <row r="90" spans="2:8" x14ac:dyDescent="0.35">
      <c r="B90" t="s">
        <v>193</v>
      </c>
      <c r="C90" t="s">
        <v>15</v>
      </c>
      <c r="D90">
        <v>19</v>
      </c>
      <c r="E90" t="s">
        <v>16</v>
      </c>
      <c r="F90" s="4">
        <v>44218</v>
      </c>
      <c r="G90" t="s">
        <v>9</v>
      </c>
      <c r="H90">
        <v>58960</v>
      </c>
    </row>
    <row r="91" spans="2:8" x14ac:dyDescent="0.35">
      <c r="B91" t="s">
        <v>162</v>
      </c>
      <c r="C91" t="s">
        <v>15</v>
      </c>
      <c r="D91">
        <v>46</v>
      </c>
      <c r="E91" t="s">
        <v>16</v>
      </c>
      <c r="F91" s="4">
        <v>44697</v>
      </c>
      <c r="G91" t="s">
        <v>9</v>
      </c>
      <c r="H91">
        <v>70610</v>
      </c>
    </row>
    <row r="92" spans="2:8" x14ac:dyDescent="0.35">
      <c r="B92" t="s">
        <v>171</v>
      </c>
      <c r="C92" t="s">
        <v>15</v>
      </c>
      <c r="D92">
        <v>33</v>
      </c>
      <c r="E92" t="s">
        <v>16</v>
      </c>
      <c r="F92" s="4">
        <v>44181</v>
      </c>
      <c r="G92" t="s">
        <v>21</v>
      </c>
      <c r="H92">
        <v>59430</v>
      </c>
    </row>
    <row r="93" spans="2:8" x14ac:dyDescent="0.35">
      <c r="B93" t="s">
        <v>144</v>
      </c>
      <c r="C93" t="s">
        <v>15</v>
      </c>
      <c r="D93">
        <v>33</v>
      </c>
      <c r="E93" t="s">
        <v>13</v>
      </c>
      <c r="F93" s="4">
        <v>44640</v>
      </c>
      <c r="G93" t="s">
        <v>9</v>
      </c>
      <c r="H93">
        <v>48530</v>
      </c>
    </row>
    <row r="94" spans="2:8" x14ac:dyDescent="0.35">
      <c r="B94" t="s">
        <v>163</v>
      </c>
      <c r="C94" t="s">
        <v>8</v>
      </c>
      <c r="D94">
        <v>33</v>
      </c>
      <c r="E94" t="s">
        <v>16</v>
      </c>
      <c r="F94" s="4">
        <v>44129</v>
      </c>
      <c r="G94" t="s">
        <v>12</v>
      </c>
      <c r="H94">
        <v>96140</v>
      </c>
    </row>
    <row r="95" spans="2:8" x14ac:dyDescent="0.35">
      <c r="B95" t="s">
        <v>156</v>
      </c>
      <c r="C95" t="s">
        <v>15</v>
      </c>
      <c r="D95">
        <v>20</v>
      </c>
      <c r="E95" t="s">
        <v>16</v>
      </c>
      <c r="F95" s="4">
        <v>44122</v>
      </c>
      <c r="G95" t="s">
        <v>12</v>
      </c>
      <c r="H95">
        <v>112650</v>
      </c>
    </row>
    <row r="96" spans="2:8" x14ac:dyDescent="0.35">
      <c r="B96" t="s">
        <v>176</v>
      </c>
      <c r="C96" t="s">
        <v>8</v>
      </c>
      <c r="D96">
        <v>32</v>
      </c>
      <c r="E96" t="s">
        <v>13</v>
      </c>
      <c r="F96" s="4">
        <v>44293</v>
      </c>
      <c r="G96" t="s">
        <v>12</v>
      </c>
      <c r="H96">
        <v>43840</v>
      </c>
    </row>
    <row r="97" spans="2:8" x14ac:dyDescent="0.35">
      <c r="B97" t="s">
        <v>143</v>
      </c>
      <c r="C97" t="s">
        <v>15</v>
      </c>
      <c r="D97">
        <v>31</v>
      </c>
      <c r="E97" t="s">
        <v>16</v>
      </c>
      <c r="F97" s="4">
        <v>44663</v>
      </c>
      <c r="G97" t="s">
        <v>9</v>
      </c>
      <c r="H97">
        <v>103550</v>
      </c>
    </row>
    <row r="98" spans="2:8" x14ac:dyDescent="0.35">
      <c r="B98" t="s">
        <v>201</v>
      </c>
      <c r="C98" t="s">
        <v>8</v>
      </c>
      <c r="D98">
        <v>32</v>
      </c>
      <c r="E98" t="s">
        <v>16</v>
      </c>
      <c r="F98" s="4">
        <v>44339</v>
      </c>
      <c r="G98" t="s">
        <v>56</v>
      </c>
      <c r="H98">
        <v>45510</v>
      </c>
    </row>
    <row r="99" spans="2:8" x14ac:dyDescent="0.35">
      <c r="B99" t="s">
        <v>142</v>
      </c>
      <c r="D99">
        <v>37</v>
      </c>
      <c r="E99" t="s">
        <v>24</v>
      </c>
      <c r="F99" s="4">
        <v>44085</v>
      </c>
      <c r="G99" t="s">
        <v>21</v>
      </c>
      <c r="H99">
        <v>115440</v>
      </c>
    </row>
    <row r="100" spans="2:8" x14ac:dyDescent="0.35">
      <c r="B100" t="s">
        <v>202</v>
      </c>
      <c r="C100" t="s">
        <v>8</v>
      </c>
      <c r="D100">
        <v>38</v>
      </c>
      <c r="E100" t="s">
        <v>13</v>
      </c>
      <c r="F100" s="4">
        <v>44268</v>
      </c>
      <c r="G100" t="s">
        <v>19</v>
      </c>
      <c r="H100">
        <v>56870</v>
      </c>
    </row>
    <row r="101" spans="2:8" x14ac:dyDescent="0.35">
      <c r="B101" t="s">
        <v>169</v>
      </c>
      <c r="C101" t="s">
        <v>8</v>
      </c>
      <c r="D101">
        <v>25</v>
      </c>
      <c r="E101" t="s">
        <v>16</v>
      </c>
      <c r="F101" s="4">
        <v>44144</v>
      </c>
      <c r="G101" t="s">
        <v>19</v>
      </c>
      <c r="H101">
        <v>92700</v>
      </c>
    </row>
    <row r="102" spans="2:8" x14ac:dyDescent="0.35">
      <c r="B102" t="s">
        <v>145</v>
      </c>
      <c r="D102">
        <v>32</v>
      </c>
      <c r="E102" t="s">
        <v>16</v>
      </c>
      <c r="F102" s="4">
        <v>44713</v>
      </c>
      <c r="G102" t="s">
        <v>12</v>
      </c>
      <c r="H102">
        <v>91310</v>
      </c>
    </row>
    <row r="103" spans="2:8" x14ac:dyDescent="0.35">
      <c r="B103" t="s">
        <v>115</v>
      </c>
      <c r="C103" t="s">
        <v>15</v>
      </c>
      <c r="D103">
        <v>33</v>
      </c>
      <c r="E103" t="s">
        <v>16</v>
      </c>
      <c r="F103" s="4">
        <v>44324</v>
      </c>
      <c r="G103" t="s">
        <v>19</v>
      </c>
      <c r="H103">
        <v>74550</v>
      </c>
    </row>
    <row r="104" spans="2:8" x14ac:dyDescent="0.35">
      <c r="B104" t="s">
        <v>128</v>
      </c>
      <c r="C104" t="s">
        <v>15</v>
      </c>
      <c r="D104">
        <v>25</v>
      </c>
      <c r="E104" t="s">
        <v>13</v>
      </c>
      <c r="F104" s="4">
        <v>44665</v>
      </c>
      <c r="G104" t="s">
        <v>9</v>
      </c>
      <c r="H104">
        <v>109190</v>
      </c>
    </row>
    <row r="105" spans="2:8" x14ac:dyDescent="0.35">
      <c r="B105" t="s">
        <v>194</v>
      </c>
      <c r="C105" t="s">
        <v>8</v>
      </c>
      <c r="D105">
        <v>40</v>
      </c>
      <c r="E105" t="s">
        <v>16</v>
      </c>
      <c r="F105" s="4">
        <v>44320</v>
      </c>
      <c r="G105" t="s">
        <v>12</v>
      </c>
      <c r="H105">
        <v>104410</v>
      </c>
    </row>
    <row r="106" spans="2:8" x14ac:dyDescent="0.35">
      <c r="B106" t="s">
        <v>177</v>
      </c>
      <c r="C106" t="s">
        <v>15</v>
      </c>
      <c r="D106">
        <v>30</v>
      </c>
      <c r="E106" t="s">
        <v>16</v>
      </c>
      <c r="F106" s="4">
        <v>44544</v>
      </c>
      <c r="G106" t="s">
        <v>21</v>
      </c>
      <c r="H106">
        <v>96800</v>
      </c>
    </row>
    <row r="107" spans="2:8" x14ac:dyDescent="0.35">
      <c r="B107" t="s">
        <v>123</v>
      </c>
      <c r="C107" t="s">
        <v>15</v>
      </c>
      <c r="D107">
        <v>28</v>
      </c>
      <c r="E107" t="s">
        <v>13</v>
      </c>
      <c r="F107" s="4">
        <v>43980</v>
      </c>
      <c r="G107" t="s">
        <v>21</v>
      </c>
      <c r="H107">
        <v>48170</v>
      </c>
    </row>
    <row r="108" spans="2:8" x14ac:dyDescent="0.35">
      <c r="B108" t="s">
        <v>140</v>
      </c>
      <c r="C108" t="s">
        <v>15</v>
      </c>
      <c r="D108">
        <v>21</v>
      </c>
      <c r="E108" t="s">
        <v>16</v>
      </c>
      <c r="F108" s="4">
        <v>44042</v>
      </c>
      <c r="G108" t="s">
        <v>9</v>
      </c>
      <c r="H108">
        <v>37920</v>
      </c>
    </row>
    <row r="109" spans="2:8" x14ac:dyDescent="0.35">
      <c r="B109" t="s">
        <v>178</v>
      </c>
      <c r="C109" t="s">
        <v>15</v>
      </c>
      <c r="D109">
        <v>34</v>
      </c>
      <c r="E109" t="s">
        <v>16</v>
      </c>
      <c r="F109" s="4">
        <v>44642</v>
      </c>
      <c r="G109" t="s">
        <v>9</v>
      </c>
      <c r="H109">
        <v>112650</v>
      </c>
    </row>
    <row r="110" spans="2:8" x14ac:dyDescent="0.35">
      <c r="B110" t="s">
        <v>165</v>
      </c>
      <c r="C110" t="s">
        <v>8</v>
      </c>
      <c r="D110">
        <v>34</v>
      </c>
      <c r="E110" t="s">
        <v>24</v>
      </c>
      <c r="F110" s="4">
        <v>44660</v>
      </c>
      <c r="G110" t="s">
        <v>19</v>
      </c>
      <c r="H110">
        <v>49630</v>
      </c>
    </row>
    <row r="111" spans="2:8" x14ac:dyDescent="0.35">
      <c r="B111" t="s">
        <v>199</v>
      </c>
      <c r="C111" t="s">
        <v>15</v>
      </c>
      <c r="D111">
        <v>36</v>
      </c>
      <c r="E111" t="s">
        <v>16</v>
      </c>
      <c r="F111" s="4">
        <v>43958</v>
      </c>
      <c r="G111" t="s">
        <v>12</v>
      </c>
      <c r="H111">
        <v>118840</v>
      </c>
    </row>
    <row r="112" spans="2:8" x14ac:dyDescent="0.35">
      <c r="B112" t="s">
        <v>159</v>
      </c>
      <c r="C112" t="s">
        <v>15</v>
      </c>
      <c r="D112">
        <v>30</v>
      </c>
      <c r="E112" t="s">
        <v>16</v>
      </c>
      <c r="F112" s="4">
        <v>44789</v>
      </c>
      <c r="G112" t="s">
        <v>12</v>
      </c>
      <c r="H112">
        <v>69710</v>
      </c>
    </row>
    <row r="113" spans="2:8" x14ac:dyDescent="0.35">
      <c r="B113" t="s">
        <v>197</v>
      </c>
      <c r="C113" t="s">
        <v>15</v>
      </c>
      <c r="D113">
        <v>20</v>
      </c>
      <c r="E113" t="s">
        <v>16</v>
      </c>
      <c r="F113" s="4">
        <v>44683</v>
      </c>
      <c r="G113" t="s">
        <v>9</v>
      </c>
      <c r="H113">
        <v>79570</v>
      </c>
    </row>
    <row r="114" spans="2:8" x14ac:dyDescent="0.35">
      <c r="B114" t="s">
        <v>154</v>
      </c>
      <c r="C114" t="s">
        <v>8</v>
      </c>
      <c r="D114">
        <v>22</v>
      </c>
      <c r="E114" t="s">
        <v>13</v>
      </c>
      <c r="F114" s="4">
        <v>44388</v>
      </c>
      <c r="G114" t="s">
        <v>9</v>
      </c>
      <c r="H114">
        <v>76900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1CD9F-5B48-459E-A32A-0C8123FA83BB}">
  <sheetPr>
    <tabColor theme="7"/>
  </sheetPr>
  <dimension ref="A1:U184"/>
  <sheetViews>
    <sheetView zoomScaleNormal="100" workbookViewId="0">
      <selection activeCell="K1" activeCellId="1" sqref="G1:G1048576 K1:K1048576"/>
    </sheetView>
  </sheetViews>
  <sheetFormatPr defaultRowHeight="14.5" x14ac:dyDescent="0.35"/>
  <cols>
    <col min="1" max="1" width="28.1796875" bestFit="1" customWidth="1"/>
    <col min="2" max="2" width="9.26953125" bestFit="1" customWidth="1"/>
    <col min="3" max="3" width="6.1796875" bestFit="1" customWidth="1"/>
    <col min="4" max="4" width="13.1796875" bestFit="1" customWidth="1"/>
    <col min="5" max="5" width="12.90625" style="6" bestFit="1" customWidth="1"/>
    <col min="6" max="6" width="13.36328125" bestFit="1" customWidth="1"/>
    <col min="7" max="7" width="8.7265625" style="20" bestFit="1" customWidth="1"/>
    <col min="8" max="8" width="9.81640625" bestFit="1" customWidth="1"/>
    <col min="9" max="9" width="11.36328125" bestFit="1" customWidth="1"/>
    <col min="10" max="10" width="11.36328125" customWidth="1"/>
    <col min="11" max="11" width="22.81640625" style="28" customWidth="1"/>
    <col min="14" max="14" width="20.54296875" customWidth="1"/>
    <col min="15" max="15" width="12.1796875" customWidth="1"/>
    <col min="16" max="16" width="10.54296875" customWidth="1"/>
    <col min="17" max="17" width="12.6328125" customWidth="1"/>
    <col min="18" max="18" width="10.1796875" customWidth="1"/>
  </cols>
  <sheetData>
    <row r="1" spans="1:17" x14ac:dyDescent="0.35">
      <c r="A1" t="s">
        <v>0</v>
      </c>
      <c r="B1" t="s">
        <v>1</v>
      </c>
      <c r="C1" t="s">
        <v>3</v>
      </c>
      <c r="D1" t="s">
        <v>6</v>
      </c>
      <c r="E1" s="6" t="s">
        <v>4</v>
      </c>
      <c r="F1" t="s">
        <v>2</v>
      </c>
      <c r="G1" s="20" t="s">
        <v>5</v>
      </c>
      <c r="H1" t="s">
        <v>205</v>
      </c>
      <c r="I1" t="s">
        <v>214</v>
      </c>
      <c r="J1" t="s">
        <v>233</v>
      </c>
      <c r="K1" s="28" t="s">
        <v>237</v>
      </c>
    </row>
    <row r="2" spans="1:17" x14ac:dyDescent="0.35">
      <c r="A2" t="s">
        <v>179</v>
      </c>
      <c r="B2" t="s">
        <v>8</v>
      </c>
      <c r="C2">
        <v>21</v>
      </c>
      <c r="D2" t="s">
        <v>16</v>
      </c>
      <c r="E2" s="6">
        <v>44619</v>
      </c>
      <c r="F2" t="s">
        <v>12</v>
      </c>
      <c r="G2" s="20">
        <v>33920</v>
      </c>
      <c r="H2" t="s">
        <v>206</v>
      </c>
      <c r="I2" s="7">
        <f ca="1">(TODAY()-staff[[#This Row],[Date Joined]])/365</f>
        <v>4.1452054794520548</v>
      </c>
      <c r="J2" s="20">
        <f ca="1">ROUNDUP(IF(staff[[#This Row],[Tenure]]&gt;3,3%,2%)*staff[[#This Row],[Salary]],0)</f>
        <v>1018</v>
      </c>
      <c r="K2" s="29">
        <f>_xlfn.XLOOKUP(staff[[#This Row],[Rating]],Analysis!$B$2:$B$6,Analysis!$C$2:$C$6)</f>
        <v>3</v>
      </c>
    </row>
    <row r="3" spans="1:17" ht="23.5" x14ac:dyDescent="0.55000000000000004">
      <c r="A3" t="s">
        <v>86</v>
      </c>
      <c r="B3" t="s">
        <v>8</v>
      </c>
      <c r="C3">
        <v>21</v>
      </c>
      <c r="D3" t="s">
        <v>16</v>
      </c>
      <c r="E3" s="6">
        <v>44678</v>
      </c>
      <c r="F3" t="s">
        <v>12</v>
      </c>
      <c r="G3" s="20">
        <v>33920</v>
      </c>
      <c r="H3" t="s">
        <v>208</v>
      </c>
      <c r="I3" s="7">
        <f ca="1">(TODAY()-staff[[#This Row],[Date Joined]])/365</f>
        <v>3.9835616438356163</v>
      </c>
      <c r="J3" s="20">
        <f ca="1">ROUNDUP(IF(staff[[#This Row],[Tenure]]&gt;3,3%,2%)*staff[[#This Row],[Salary]],0)</f>
        <v>1018</v>
      </c>
      <c r="K3" s="29">
        <f>_xlfn.XLOOKUP(staff[[#This Row],[Rating]],Analysis!$B$2:$B$6,Analysis!$C$2:$C$6)</f>
        <v>3</v>
      </c>
      <c r="M3" s="10">
        <v>1</v>
      </c>
      <c r="N3" t="s">
        <v>209</v>
      </c>
      <c r="O3">
        <f>COUNTA(staff[Name])</f>
        <v>183</v>
      </c>
    </row>
    <row r="4" spans="1:17" x14ac:dyDescent="0.35">
      <c r="A4" t="s">
        <v>137</v>
      </c>
      <c r="B4" t="s">
        <v>8</v>
      </c>
      <c r="C4">
        <v>29</v>
      </c>
      <c r="D4" t="s">
        <v>16</v>
      </c>
      <c r="E4" s="6">
        <v>43962</v>
      </c>
      <c r="F4" t="s">
        <v>12</v>
      </c>
      <c r="G4" s="20">
        <v>34980</v>
      </c>
      <c r="H4" t="s">
        <v>206</v>
      </c>
      <c r="I4" s="7">
        <f ca="1">(TODAY()-staff[[#This Row],[Date Joined]])/365</f>
        <v>5.9452054794520546</v>
      </c>
      <c r="J4" s="20">
        <f ca="1">ROUNDUP(IF(staff[[#This Row],[Tenure]]&gt;3,3%,2%)*staff[[#This Row],[Salary]],0)</f>
        <v>1050</v>
      </c>
      <c r="K4" s="29">
        <f>_xlfn.XLOOKUP(staff[[#This Row],[Rating]],Analysis!$B$2:$B$6,Analysis!$C$2:$C$6)</f>
        <v>3</v>
      </c>
      <c r="N4" t="s">
        <v>210</v>
      </c>
      <c r="O4" s="5">
        <f>AVERAGE(staff[Salary])</f>
        <v>77173.715846994543</v>
      </c>
      <c r="P4" t="s">
        <v>213</v>
      </c>
      <c r="Q4" s="5">
        <f>MEDIAN(staff[[#All],[Salary]])</f>
        <v>75000</v>
      </c>
    </row>
    <row r="5" spans="1:17" x14ac:dyDescent="0.35">
      <c r="A5" t="s">
        <v>44</v>
      </c>
      <c r="B5" t="s">
        <v>8</v>
      </c>
      <c r="C5">
        <v>29</v>
      </c>
      <c r="D5" t="s">
        <v>16</v>
      </c>
      <c r="E5" s="6">
        <v>44023</v>
      </c>
      <c r="F5" t="s">
        <v>12</v>
      </c>
      <c r="G5" s="20">
        <v>34980</v>
      </c>
      <c r="H5" t="s">
        <v>208</v>
      </c>
      <c r="I5" s="7">
        <f ca="1">(TODAY()-staff[[#This Row],[Date Joined]])/365</f>
        <v>5.7780821917808218</v>
      </c>
      <c r="J5" s="20">
        <f ca="1">ROUNDUP(IF(staff[[#This Row],[Tenure]]&gt;3,3%,2%)*staff[[#This Row],[Salary]],0)</f>
        <v>1050</v>
      </c>
      <c r="K5" s="29">
        <f>_xlfn.XLOOKUP(staff[[#This Row],[Rating]],Analysis!$B$2:$B$6,Analysis!$C$2:$C$6)</f>
        <v>3</v>
      </c>
      <c r="N5" t="s">
        <v>211</v>
      </c>
      <c r="O5">
        <f>AVERAGE(staff[[#All],[Age]])</f>
        <v>30.42622950819672</v>
      </c>
      <c r="P5" t="s">
        <v>213</v>
      </c>
      <c r="Q5">
        <f>MEDIAN(staff[[#All],[Age]])</f>
        <v>30</v>
      </c>
    </row>
    <row r="6" spans="1:17" x14ac:dyDescent="0.35">
      <c r="A6" t="s">
        <v>192</v>
      </c>
      <c r="B6" t="s">
        <v>15</v>
      </c>
      <c r="C6">
        <v>43</v>
      </c>
      <c r="D6" t="s">
        <v>16</v>
      </c>
      <c r="E6" s="6">
        <v>44558</v>
      </c>
      <c r="F6" t="s">
        <v>19</v>
      </c>
      <c r="G6" s="20">
        <v>36040</v>
      </c>
      <c r="H6" t="s">
        <v>206</v>
      </c>
      <c r="I6" s="7">
        <f ca="1">(TODAY()-staff[[#This Row],[Date Joined]])/365</f>
        <v>4.3123287671232875</v>
      </c>
      <c r="J6" s="20">
        <f ca="1">ROUNDUP(IF(staff[[#This Row],[Tenure]]&gt;3,3%,2%)*staff[[#This Row],[Salary]],0)</f>
        <v>1082</v>
      </c>
      <c r="K6" s="29">
        <f>_xlfn.XLOOKUP(staff[[#This Row],[Rating]],Analysis!$B$2:$B$6,Analysis!$C$2:$C$6)</f>
        <v>3</v>
      </c>
      <c r="N6" t="s">
        <v>212</v>
      </c>
      <c r="O6">
        <f ca="1">AVERAGE(staff[Tenure])</f>
        <v>4.6547046934650789</v>
      </c>
    </row>
    <row r="7" spans="1:17" x14ac:dyDescent="0.35">
      <c r="A7" t="s">
        <v>99</v>
      </c>
      <c r="B7" t="s">
        <v>15</v>
      </c>
      <c r="C7">
        <v>43</v>
      </c>
      <c r="D7" t="s">
        <v>16</v>
      </c>
      <c r="E7" s="6">
        <v>44620</v>
      </c>
      <c r="F7" t="s">
        <v>19</v>
      </c>
      <c r="G7" s="20">
        <v>36040</v>
      </c>
      <c r="H7" t="s">
        <v>208</v>
      </c>
      <c r="I7" s="7">
        <f ca="1">(TODAY()-staff[[#This Row],[Date Joined]])/365</f>
        <v>4.1424657534246574</v>
      </c>
      <c r="J7" s="20">
        <f ca="1">ROUNDUP(IF(staff[[#This Row],[Tenure]]&gt;3,3%,2%)*staff[[#This Row],[Salary]],0)</f>
        <v>1082</v>
      </c>
      <c r="K7" s="29">
        <f>_xlfn.XLOOKUP(staff[[#This Row],[Rating]],Analysis!$B$2:$B$6,Analysis!$C$2:$C$6)</f>
        <v>3</v>
      </c>
      <c r="N7" t="s">
        <v>216</v>
      </c>
    </row>
    <row r="8" spans="1:17" x14ac:dyDescent="0.35">
      <c r="A8" t="s">
        <v>140</v>
      </c>
      <c r="B8" t="s">
        <v>15</v>
      </c>
      <c r="C8">
        <v>21</v>
      </c>
      <c r="D8" t="s">
        <v>16</v>
      </c>
      <c r="E8" s="6">
        <v>44042</v>
      </c>
      <c r="F8" t="s">
        <v>9</v>
      </c>
      <c r="G8" s="20">
        <v>37920</v>
      </c>
      <c r="H8" t="s">
        <v>206</v>
      </c>
      <c r="I8" s="7">
        <f ca="1">(TODAY()-staff[[#This Row],[Date Joined]])/365</f>
        <v>5.7260273972602738</v>
      </c>
      <c r="J8" s="20">
        <f ca="1">ROUNDUP(IF(staff[[#This Row],[Tenure]]&gt;3,3%,2%)*staff[[#This Row],[Salary]],0)</f>
        <v>1138</v>
      </c>
      <c r="K8" s="29">
        <f>_xlfn.XLOOKUP(staff[[#This Row],[Rating]],Analysis!$B$2:$B$6,Analysis!$C$2:$C$6)</f>
        <v>3</v>
      </c>
      <c r="N8" t="s">
        <v>215</v>
      </c>
      <c r="O8">
        <f>COUNTIFS(staff[Gender],"Female")</f>
        <v>86</v>
      </c>
    </row>
    <row r="9" spans="1:17" x14ac:dyDescent="0.35">
      <c r="A9" t="s">
        <v>47</v>
      </c>
      <c r="B9" t="s">
        <v>15</v>
      </c>
      <c r="C9">
        <v>21</v>
      </c>
      <c r="D9" t="s">
        <v>16</v>
      </c>
      <c r="E9" s="6">
        <v>44104</v>
      </c>
      <c r="F9" t="s">
        <v>9</v>
      </c>
      <c r="G9" s="20">
        <v>37920</v>
      </c>
      <c r="H9" t="s">
        <v>208</v>
      </c>
      <c r="I9" s="7">
        <f ca="1">(TODAY()-staff[[#This Row],[Date Joined]])/365</f>
        <v>5.5561643835616437</v>
      </c>
      <c r="J9" s="20">
        <f ca="1">ROUNDUP(IF(staff[[#This Row],[Tenure]]&gt;3,3%,2%)*staff[[#This Row],[Salary]],0)</f>
        <v>1138</v>
      </c>
      <c r="K9" s="29">
        <f>_xlfn.XLOOKUP(staff[[#This Row],[Rating]],Analysis!$B$2:$B$6,Analysis!$C$2:$C$6)</f>
        <v>3</v>
      </c>
      <c r="N9" t="s">
        <v>217</v>
      </c>
      <c r="O9" s="8">
        <f>O8/O3</f>
        <v>0.46994535519125685</v>
      </c>
    </row>
    <row r="10" spans="1:17" x14ac:dyDescent="0.35">
      <c r="A10" t="s">
        <v>149</v>
      </c>
      <c r="B10" t="s">
        <v>15</v>
      </c>
      <c r="C10">
        <v>35</v>
      </c>
      <c r="D10" t="s">
        <v>16</v>
      </c>
      <c r="E10" s="6">
        <v>44666</v>
      </c>
      <c r="F10" t="s">
        <v>9</v>
      </c>
      <c r="G10" s="20">
        <v>40400</v>
      </c>
      <c r="H10" t="s">
        <v>206</v>
      </c>
      <c r="I10" s="7">
        <f ca="1">(TODAY()-staff[[#This Row],[Date Joined]])/365</f>
        <v>4.0164383561643833</v>
      </c>
      <c r="J10" s="20">
        <f ca="1">ROUNDUP(IF(staff[[#This Row],[Tenure]]&gt;3,3%,2%)*staff[[#This Row],[Salary]],0)</f>
        <v>1212</v>
      </c>
      <c r="K10" s="29">
        <f>_xlfn.XLOOKUP(staff[[#This Row],[Rating]],Analysis!$B$2:$B$6,Analysis!$C$2:$C$6)</f>
        <v>3</v>
      </c>
    </row>
    <row r="11" spans="1:17" x14ac:dyDescent="0.35">
      <c r="A11" t="s">
        <v>57</v>
      </c>
      <c r="B11" t="s">
        <v>15</v>
      </c>
      <c r="C11">
        <v>35</v>
      </c>
      <c r="D11" t="s">
        <v>16</v>
      </c>
      <c r="E11" s="6">
        <v>44727</v>
      </c>
      <c r="F11" t="s">
        <v>9</v>
      </c>
      <c r="G11" s="20">
        <v>40400</v>
      </c>
      <c r="H11" t="s">
        <v>208</v>
      </c>
      <c r="I11" s="7">
        <f ca="1">(TODAY()-staff[[#This Row],[Date Joined]])/365</f>
        <v>3.8493150684931505</v>
      </c>
      <c r="J11" s="20">
        <f ca="1">ROUNDUP(IF(staff[[#This Row],[Tenure]]&gt;3,3%,2%)*staff[[#This Row],[Salary]],0)</f>
        <v>1212</v>
      </c>
      <c r="K11" s="29">
        <f>_xlfn.XLOOKUP(staff[[#This Row],[Rating]],Analysis!$B$2:$B$6,Analysis!$C$2:$C$6)</f>
        <v>3</v>
      </c>
      <c r="N11" t="s">
        <v>218</v>
      </c>
      <c r="O11">
        <f>COUNTIFS(staff[Salary],"&gt;90000")</f>
        <v>63</v>
      </c>
    </row>
    <row r="12" spans="1:17" x14ac:dyDescent="0.35">
      <c r="A12" t="s">
        <v>158</v>
      </c>
      <c r="B12" t="s">
        <v>8</v>
      </c>
      <c r="C12">
        <v>32</v>
      </c>
      <c r="D12" t="s">
        <v>16</v>
      </c>
      <c r="E12" s="6">
        <v>44549</v>
      </c>
      <c r="F12" t="s">
        <v>9</v>
      </c>
      <c r="G12" s="20">
        <v>41570</v>
      </c>
      <c r="H12" t="s">
        <v>206</v>
      </c>
      <c r="I12" s="7">
        <f ca="1">(TODAY()-staff[[#This Row],[Date Joined]])/365</f>
        <v>4.3369863013698629</v>
      </c>
      <c r="J12" s="20">
        <f ca="1">ROUNDUP(IF(staff[[#This Row],[Tenure]]&gt;3,3%,2%)*staff[[#This Row],[Salary]],0)</f>
        <v>1248</v>
      </c>
      <c r="K12" s="29">
        <f>_xlfn.XLOOKUP(staff[[#This Row],[Rating]],Analysis!$B$2:$B$6,Analysis!$C$2:$C$6)</f>
        <v>3</v>
      </c>
      <c r="N12" t="s">
        <v>219</v>
      </c>
      <c r="O12" s="9">
        <f>O11/O3</f>
        <v>0.34426229508196721</v>
      </c>
    </row>
    <row r="13" spans="1:17" x14ac:dyDescent="0.35">
      <c r="A13" t="s">
        <v>66</v>
      </c>
      <c r="B13" t="s">
        <v>8</v>
      </c>
      <c r="C13">
        <v>32</v>
      </c>
      <c r="D13" t="s">
        <v>16</v>
      </c>
      <c r="E13" s="6">
        <v>44611</v>
      </c>
      <c r="F13" t="s">
        <v>9</v>
      </c>
      <c r="G13" s="20">
        <v>41570</v>
      </c>
      <c r="H13" t="s">
        <v>208</v>
      </c>
      <c r="I13" s="7">
        <f ca="1">(TODAY()-staff[[#This Row],[Date Joined]])/365</f>
        <v>4.1671232876712327</v>
      </c>
      <c r="J13" s="20">
        <f ca="1">ROUNDUP(IF(staff[[#This Row],[Tenure]]&gt;3,3%,2%)*staff[[#This Row],[Salary]],0)</f>
        <v>1248</v>
      </c>
      <c r="K13" s="29">
        <f>_xlfn.XLOOKUP(staff[[#This Row],[Rating]],Analysis!$B$2:$B$6,Analysis!$C$2:$C$6)</f>
        <v>3</v>
      </c>
    </row>
    <row r="14" spans="1:17" x14ac:dyDescent="0.35">
      <c r="A14" t="s">
        <v>124</v>
      </c>
      <c r="B14" t="s">
        <v>8</v>
      </c>
      <c r="C14">
        <v>31</v>
      </c>
      <c r="D14" t="s">
        <v>16</v>
      </c>
      <c r="E14" s="6">
        <v>44084</v>
      </c>
      <c r="F14" t="s">
        <v>12</v>
      </c>
      <c r="G14" s="20">
        <v>41980</v>
      </c>
      <c r="H14" t="s">
        <v>206</v>
      </c>
      <c r="I14" s="7">
        <f ca="1">(TODAY()-staff[[#This Row],[Date Joined]])/365</f>
        <v>5.6109589041095891</v>
      </c>
      <c r="J14" s="20">
        <f ca="1">ROUNDUP(IF(staff[[#This Row],[Tenure]]&gt;3,3%,2%)*staff[[#This Row],[Salary]],0)</f>
        <v>1260</v>
      </c>
      <c r="K14" s="29">
        <f>_xlfn.XLOOKUP(staff[[#This Row],[Rating]],Analysis!$B$2:$B$6,Analysis!$C$2:$C$6)</f>
        <v>3</v>
      </c>
    </row>
    <row r="15" spans="1:17" x14ac:dyDescent="0.35">
      <c r="A15" t="s">
        <v>30</v>
      </c>
      <c r="B15" t="s">
        <v>8</v>
      </c>
      <c r="C15">
        <v>31</v>
      </c>
      <c r="D15" t="s">
        <v>16</v>
      </c>
      <c r="E15" s="6">
        <v>44145</v>
      </c>
      <c r="F15" t="s">
        <v>12</v>
      </c>
      <c r="G15" s="20">
        <v>41980</v>
      </c>
      <c r="H15" t="s">
        <v>208</v>
      </c>
      <c r="I15" s="7">
        <f ca="1">(TODAY()-staff[[#This Row],[Date Joined]])/365</f>
        <v>5.4438356164383563</v>
      </c>
      <c r="J15" s="20">
        <f ca="1">ROUNDUP(IF(staff[[#This Row],[Tenure]]&gt;3,3%,2%)*staff[[#This Row],[Salary]],0)</f>
        <v>1260</v>
      </c>
      <c r="K15" s="29">
        <f>_xlfn.XLOOKUP(staff[[#This Row],[Rating]],Analysis!$B$2:$B$6,Analysis!$C$2:$C$6)</f>
        <v>3</v>
      </c>
    </row>
    <row r="16" spans="1:17" x14ac:dyDescent="0.35">
      <c r="A16" t="s">
        <v>172</v>
      </c>
      <c r="B16" t="s">
        <v>15</v>
      </c>
      <c r="C16">
        <v>28</v>
      </c>
      <c r="D16" t="s">
        <v>42</v>
      </c>
      <c r="E16" s="6">
        <v>44758</v>
      </c>
      <c r="F16" t="s">
        <v>19</v>
      </c>
      <c r="G16" s="20">
        <v>43510</v>
      </c>
      <c r="H16" t="s">
        <v>206</v>
      </c>
      <c r="I16" s="7">
        <f ca="1">(TODAY()-staff[[#This Row],[Date Joined]])/365</f>
        <v>3.7643835616438355</v>
      </c>
      <c r="J16" s="20">
        <f ca="1">ROUNDUP(IF(staff[[#This Row],[Tenure]]&gt;3,3%,2%)*staff[[#This Row],[Salary]],0)</f>
        <v>1306</v>
      </c>
      <c r="K16" s="29">
        <f>_xlfn.XLOOKUP(staff[[#This Row],[Rating]],Analysis!$B$2:$B$6,Analysis!$C$2:$C$6)</f>
        <v>1</v>
      </c>
    </row>
    <row r="17" spans="1:21" x14ac:dyDescent="0.35">
      <c r="A17" t="s">
        <v>80</v>
      </c>
      <c r="B17" t="s">
        <v>15</v>
      </c>
      <c r="C17">
        <v>28</v>
      </c>
      <c r="D17" t="s">
        <v>42</v>
      </c>
      <c r="E17" s="6">
        <v>44820</v>
      </c>
      <c r="F17" t="s">
        <v>19</v>
      </c>
      <c r="G17" s="20">
        <v>43510</v>
      </c>
      <c r="H17" t="s">
        <v>208</v>
      </c>
      <c r="I17" s="7">
        <f ca="1">(TODAY()-staff[[#This Row],[Date Joined]])/365</f>
        <v>3.5945205479452054</v>
      </c>
      <c r="J17" s="20">
        <f ca="1">ROUNDUP(IF(staff[[#This Row],[Tenure]]&gt;3,3%,2%)*staff[[#This Row],[Salary]],0)</f>
        <v>1306</v>
      </c>
      <c r="K17" s="29">
        <f>_xlfn.XLOOKUP(staff[[#This Row],[Rating]],Analysis!$B$2:$B$6,Analysis!$C$2:$C$6)</f>
        <v>1</v>
      </c>
    </row>
    <row r="18" spans="1:21" ht="23.5" x14ac:dyDescent="0.55000000000000004">
      <c r="A18" t="s">
        <v>176</v>
      </c>
      <c r="B18" t="s">
        <v>8</v>
      </c>
      <c r="C18">
        <v>32</v>
      </c>
      <c r="D18" t="s">
        <v>13</v>
      </c>
      <c r="E18" s="6">
        <v>44293</v>
      </c>
      <c r="F18" t="s">
        <v>12</v>
      </c>
      <c r="G18" s="20">
        <v>43840</v>
      </c>
      <c r="H18" t="s">
        <v>206</v>
      </c>
      <c r="I18" s="7">
        <f ca="1">(TODAY()-staff[[#This Row],[Date Joined]])/365</f>
        <v>5.0383561643835613</v>
      </c>
      <c r="J18" s="20">
        <f ca="1">ROUNDUP(IF(staff[[#This Row],[Tenure]]&gt;3,3%,2%)*staff[[#This Row],[Salary]],0)</f>
        <v>1316</v>
      </c>
      <c r="K18" s="29">
        <f>_xlfn.XLOOKUP(staff[[#This Row],[Rating]],Analysis!$B$2:$B$6,Analysis!$C$2:$C$6)</f>
        <v>4</v>
      </c>
      <c r="M18" s="10">
        <v>2</v>
      </c>
    </row>
    <row r="19" spans="1:21" x14ac:dyDescent="0.35">
      <c r="A19" t="s">
        <v>84</v>
      </c>
      <c r="B19" t="s">
        <v>8</v>
      </c>
      <c r="C19">
        <v>32</v>
      </c>
      <c r="D19" t="s">
        <v>13</v>
      </c>
      <c r="E19" s="6">
        <v>44354</v>
      </c>
      <c r="F19" t="s">
        <v>12</v>
      </c>
      <c r="G19" s="20">
        <v>43840</v>
      </c>
      <c r="H19" t="s">
        <v>208</v>
      </c>
      <c r="I19" s="7">
        <f ca="1">(TODAY()-staff[[#This Row],[Date Joined]])/365</f>
        <v>4.8712328767123285</v>
      </c>
      <c r="J19" s="20">
        <f ca="1">ROUNDUP(IF(staff[[#This Row],[Tenure]]&gt;3,3%,2%)*staff[[#This Row],[Salary]],0)</f>
        <v>1316</v>
      </c>
      <c r="K19" s="29">
        <f>_xlfn.XLOOKUP(staff[[#This Row],[Rating]],Analysis!$B$2:$B$6,Analysis!$C$2:$C$6)</f>
        <v>4</v>
      </c>
      <c r="N19" s="11" t="s">
        <v>197</v>
      </c>
    </row>
    <row r="20" spans="1:21" x14ac:dyDescent="0.35">
      <c r="A20" t="s">
        <v>201</v>
      </c>
      <c r="B20" t="s">
        <v>8</v>
      </c>
      <c r="C20">
        <v>32</v>
      </c>
      <c r="D20" t="s">
        <v>16</v>
      </c>
      <c r="E20" s="6">
        <v>44339</v>
      </c>
      <c r="F20" t="s">
        <v>56</v>
      </c>
      <c r="G20" s="20">
        <v>45510</v>
      </c>
      <c r="H20" t="s">
        <v>206</v>
      </c>
      <c r="I20" s="7">
        <f ca="1">(TODAY()-staff[[#This Row],[Date Joined]])/365</f>
        <v>4.912328767123288</v>
      </c>
      <c r="J20" s="20">
        <f ca="1">ROUNDUP(IF(staff[[#This Row],[Tenure]]&gt;3,3%,2%)*staff[[#This Row],[Salary]],0)</f>
        <v>1366</v>
      </c>
      <c r="K20" s="29">
        <f>_xlfn.XLOOKUP(staff[[#This Row],[Rating]],Analysis!$B$2:$B$6,Analysis!$C$2:$C$6)</f>
        <v>3</v>
      </c>
    </row>
    <row r="21" spans="1:21" x14ac:dyDescent="0.35">
      <c r="A21" t="s">
        <v>108</v>
      </c>
      <c r="B21" t="s">
        <v>8</v>
      </c>
      <c r="C21">
        <v>32</v>
      </c>
      <c r="D21" t="s">
        <v>16</v>
      </c>
      <c r="E21" s="6">
        <v>44400</v>
      </c>
      <c r="F21" t="s">
        <v>56</v>
      </c>
      <c r="G21" s="20">
        <v>45510</v>
      </c>
      <c r="H21" t="s">
        <v>208</v>
      </c>
      <c r="I21" s="7">
        <f ca="1">(TODAY()-staff[[#This Row],[Date Joined]])/365</f>
        <v>4.7452054794520544</v>
      </c>
      <c r="J21" s="20">
        <f ca="1">ROUNDUP(IF(staff[[#This Row],[Tenure]]&gt;3,3%,2%)*staff[[#This Row],[Salary]],0)</f>
        <v>1366</v>
      </c>
      <c r="K21" s="29">
        <f>_xlfn.XLOOKUP(staff[[#This Row],[Rating]],Analysis!$B$2:$B$6,Analysis!$C$2:$C$6)</f>
        <v>3</v>
      </c>
      <c r="N21" t="s">
        <v>220</v>
      </c>
    </row>
    <row r="22" spans="1:21" x14ac:dyDescent="0.35">
      <c r="A22" t="s">
        <v>151</v>
      </c>
      <c r="B22" t="s">
        <v>15</v>
      </c>
      <c r="C22">
        <v>26</v>
      </c>
      <c r="D22" t="s">
        <v>16</v>
      </c>
      <c r="E22" s="6">
        <v>44164</v>
      </c>
      <c r="F22" t="s">
        <v>9</v>
      </c>
      <c r="G22" s="20">
        <v>47360</v>
      </c>
      <c r="H22" t="s">
        <v>206</v>
      </c>
      <c r="I22" s="7">
        <f ca="1">(TODAY()-staff[[#This Row],[Date Joined]])/365</f>
        <v>5.3917808219178083</v>
      </c>
      <c r="J22" s="20">
        <f ca="1">ROUNDUP(IF(staff[[#This Row],[Tenure]]&gt;3,3%,2%)*staff[[#This Row],[Salary]],0)</f>
        <v>1421</v>
      </c>
      <c r="K22" s="29">
        <f>_xlfn.XLOOKUP(staff[[#This Row],[Rating]],Analysis!$B$2:$B$6,Analysis!$C$2:$C$6)</f>
        <v>3</v>
      </c>
    </row>
    <row r="23" spans="1:21" x14ac:dyDescent="0.35">
      <c r="A23" t="s">
        <v>59</v>
      </c>
      <c r="B23" t="s">
        <v>15</v>
      </c>
      <c r="C23">
        <v>26</v>
      </c>
      <c r="D23" t="s">
        <v>16</v>
      </c>
      <c r="E23" s="6">
        <v>44225</v>
      </c>
      <c r="F23" t="s">
        <v>9</v>
      </c>
      <c r="G23" s="20">
        <v>47360</v>
      </c>
      <c r="H23" t="s">
        <v>208</v>
      </c>
      <c r="I23" s="7">
        <f ca="1">(TODAY()-staff[[#This Row],[Date Joined]])/365</f>
        <v>5.2246575342465755</v>
      </c>
      <c r="J23" s="20">
        <f ca="1">ROUNDUP(IF(staff[[#This Row],[Tenure]]&gt;3,3%,2%)*staff[[#This Row],[Salary]],0)</f>
        <v>1421</v>
      </c>
      <c r="K23" s="29">
        <f>_xlfn.XLOOKUP(staff[[#This Row],[Rating]],Analysis!$B$2:$B$6,Analysis!$C$2:$C$6)</f>
        <v>3</v>
      </c>
      <c r="N23" t="str" cm="1">
        <f t="array" aca="1" ref="N23:U23" ca="1">_xlfn.XLOOKUP(N19,staff[Name],staff[[Gender]:[Tenure]])</f>
        <v>Male</v>
      </c>
      <c r="O23">
        <f ca="1"/>
        <v>20</v>
      </c>
      <c r="P23" t="str">
        <f ca="1"/>
        <v>Average</v>
      </c>
      <c r="Q23">
        <f ca="1"/>
        <v>44683</v>
      </c>
      <c r="R23" t="str">
        <f ca="1"/>
        <v>Procurement</v>
      </c>
      <c r="S23">
        <f ca="1"/>
        <v>79570</v>
      </c>
      <c r="T23" t="str">
        <f ca="1"/>
        <v>India</v>
      </c>
      <c r="U23">
        <f ca="1"/>
        <v>3.9698630136986299</v>
      </c>
    </row>
    <row r="24" spans="1:21" x14ac:dyDescent="0.35">
      <c r="A24" t="s">
        <v>123</v>
      </c>
      <c r="B24" t="s">
        <v>15</v>
      </c>
      <c r="C24">
        <v>28</v>
      </c>
      <c r="D24" t="s">
        <v>13</v>
      </c>
      <c r="E24" s="6">
        <v>43980</v>
      </c>
      <c r="F24" t="s">
        <v>21</v>
      </c>
      <c r="G24" s="20">
        <v>48170</v>
      </c>
      <c r="H24" t="s">
        <v>206</v>
      </c>
      <c r="I24" s="7">
        <f ca="1">(TODAY()-staff[[#This Row],[Date Joined]])/365</f>
        <v>5.8958904109589039</v>
      </c>
      <c r="J24" s="20">
        <f ca="1">ROUNDUP(IF(staff[[#This Row],[Tenure]]&gt;3,3%,2%)*staff[[#This Row],[Salary]],0)</f>
        <v>1446</v>
      </c>
      <c r="K24" s="29">
        <f>_xlfn.XLOOKUP(staff[[#This Row],[Rating]],Analysis!$B$2:$B$6,Analysis!$C$2:$C$6)</f>
        <v>4</v>
      </c>
    </row>
    <row r="25" spans="1:21" x14ac:dyDescent="0.35">
      <c r="A25" t="s">
        <v>29</v>
      </c>
      <c r="B25" t="s">
        <v>15</v>
      </c>
      <c r="C25">
        <v>28</v>
      </c>
      <c r="D25" t="s">
        <v>13</v>
      </c>
      <c r="E25" s="6">
        <v>44041</v>
      </c>
      <c r="F25" t="s">
        <v>21</v>
      </c>
      <c r="G25" s="20">
        <v>48170</v>
      </c>
      <c r="H25" t="s">
        <v>208</v>
      </c>
      <c r="I25" s="7">
        <f ca="1">(TODAY()-staff[[#This Row],[Date Joined]])/365</f>
        <v>5.7287671232876711</v>
      </c>
      <c r="J25" s="20">
        <f ca="1">ROUNDUP(IF(staff[[#This Row],[Tenure]]&gt;3,3%,2%)*staff[[#This Row],[Salary]],0)</f>
        <v>1446</v>
      </c>
      <c r="K25" s="29">
        <f>_xlfn.XLOOKUP(staff[[#This Row],[Rating]],Analysis!$B$2:$B$6,Analysis!$C$2:$C$6)</f>
        <v>4</v>
      </c>
      <c r="N25" s="14" t="s">
        <v>1</v>
      </c>
      <c r="O25" s="12" t="str" cm="1">
        <f t="array" aca="1" ref="O25:O32" ca="1">TRANSPOSE(_xlfn.XLOOKUP(N19,staff[Name],staff[[Gender]:[Tenure]]))</f>
        <v>Male</v>
      </c>
    </row>
    <row r="26" spans="1:21" x14ac:dyDescent="0.35">
      <c r="A26" t="s">
        <v>144</v>
      </c>
      <c r="B26" t="s">
        <v>15</v>
      </c>
      <c r="C26">
        <v>33</v>
      </c>
      <c r="D26" t="s">
        <v>13</v>
      </c>
      <c r="E26" s="6">
        <v>44640</v>
      </c>
      <c r="F26" t="s">
        <v>9</v>
      </c>
      <c r="G26" s="20">
        <v>48530</v>
      </c>
      <c r="H26" t="s">
        <v>206</v>
      </c>
      <c r="I26" s="7">
        <f ca="1">(TODAY()-staff[[#This Row],[Date Joined]])/365</f>
        <v>4.087671232876712</v>
      </c>
      <c r="J26" s="20">
        <f ca="1">ROUNDUP(IF(staff[[#This Row],[Tenure]]&gt;3,3%,2%)*staff[[#This Row],[Salary]],0)</f>
        <v>1456</v>
      </c>
      <c r="K26" s="29">
        <f>_xlfn.XLOOKUP(staff[[#This Row],[Rating]],Analysis!$B$2:$B$6,Analysis!$C$2:$C$6)</f>
        <v>4</v>
      </c>
      <c r="N26" s="14" t="s">
        <v>3</v>
      </c>
      <c r="O26" s="12">
        <f ca="1"/>
        <v>20</v>
      </c>
    </row>
    <row r="27" spans="1:21" x14ac:dyDescent="0.35">
      <c r="A27" t="s">
        <v>51</v>
      </c>
      <c r="B27" t="s">
        <v>15</v>
      </c>
      <c r="C27">
        <v>33</v>
      </c>
      <c r="D27" t="s">
        <v>13</v>
      </c>
      <c r="E27" s="6">
        <v>44701</v>
      </c>
      <c r="F27" t="s">
        <v>9</v>
      </c>
      <c r="G27" s="20">
        <v>48530</v>
      </c>
      <c r="H27" t="s">
        <v>208</v>
      </c>
      <c r="I27" s="7">
        <f ca="1">(TODAY()-staff[[#This Row],[Date Joined]])/365</f>
        <v>3.9205479452054797</v>
      </c>
      <c r="J27" s="20">
        <f ca="1">ROUNDUP(IF(staff[[#This Row],[Tenure]]&gt;3,3%,2%)*staff[[#This Row],[Salary]],0)</f>
        <v>1456</v>
      </c>
      <c r="K27" s="29">
        <f>_xlfn.XLOOKUP(staff[[#This Row],[Rating]],Analysis!$B$2:$B$6,Analysis!$C$2:$C$6)</f>
        <v>4</v>
      </c>
      <c r="N27" s="14" t="s">
        <v>6</v>
      </c>
      <c r="O27" s="12" t="str">
        <f ca="1"/>
        <v>Average</v>
      </c>
    </row>
    <row r="28" spans="1:21" x14ac:dyDescent="0.35">
      <c r="A28" t="s">
        <v>113</v>
      </c>
      <c r="B28" t="s">
        <v>15</v>
      </c>
      <c r="C28">
        <v>31</v>
      </c>
      <c r="D28" t="s">
        <v>16</v>
      </c>
      <c r="E28" s="6">
        <v>44450</v>
      </c>
      <c r="F28" t="s">
        <v>12</v>
      </c>
      <c r="G28" s="20">
        <v>48950</v>
      </c>
      <c r="H28" t="s">
        <v>206</v>
      </c>
      <c r="I28" s="7">
        <f ca="1">(TODAY()-staff[[#This Row],[Date Joined]])/365</f>
        <v>4.6082191780821917</v>
      </c>
      <c r="J28" s="20">
        <f ca="1">ROUNDUP(IF(staff[[#This Row],[Tenure]]&gt;3,3%,2%)*staff[[#This Row],[Salary]],0)</f>
        <v>1469</v>
      </c>
      <c r="K28" s="29">
        <f>_xlfn.XLOOKUP(staff[[#This Row],[Rating]],Analysis!$B$2:$B$6,Analysis!$C$2:$C$6)</f>
        <v>3</v>
      </c>
      <c r="N28" s="14" t="s">
        <v>4</v>
      </c>
      <c r="O28" s="13">
        <f ca="1"/>
        <v>44683</v>
      </c>
    </row>
    <row r="29" spans="1:21" x14ac:dyDescent="0.35">
      <c r="A29" t="s">
        <v>14</v>
      </c>
      <c r="B29" t="s">
        <v>15</v>
      </c>
      <c r="C29">
        <v>31</v>
      </c>
      <c r="D29" t="s">
        <v>16</v>
      </c>
      <c r="E29" s="6">
        <v>44511</v>
      </c>
      <c r="F29" t="s">
        <v>12</v>
      </c>
      <c r="G29" s="20">
        <v>48950</v>
      </c>
      <c r="H29" t="s">
        <v>208</v>
      </c>
      <c r="I29" s="7">
        <f ca="1">(TODAY()-staff[[#This Row],[Date Joined]])/365</f>
        <v>4.441095890410959</v>
      </c>
      <c r="J29" s="20">
        <f ca="1">ROUNDUP(IF(staff[[#This Row],[Tenure]]&gt;3,3%,2%)*staff[[#This Row],[Salary]],0)</f>
        <v>1469</v>
      </c>
      <c r="K29" s="29">
        <f>_xlfn.XLOOKUP(staff[[#This Row],[Rating]],Analysis!$B$2:$B$6,Analysis!$C$2:$C$6)</f>
        <v>3</v>
      </c>
      <c r="N29" s="14" t="s">
        <v>2</v>
      </c>
      <c r="O29" s="12" t="str">
        <f ca="1"/>
        <v>Procurement</v>
      </c>
    </row>
    <row r="30" spans="1:21" x14ac:dyDescent="0.35">
      <c r="A30" t="s">
        <v>146</v>
      </c>
      <c r="B30" t="s">
        <v>15</v>
      </c>
      <c r="C30">
        <v>27</v>
      </c>
      <c r="D30" t="s">
        <v>16</v>
      </c>
      <c r="E30" s="6">
        <v>44506</v>
      </c>
      <c r="F30" t="s">
        <v>21</v>
      </c>
      <c r="G30" s="20">
        <v>48980</v>
      </c>
      <c r="H30" t="s">
        <v>206</v>
      </c>
      <c r="I30" s="7">
        <f ca="1">(TODAY()-staff[[#This Row],[Date Joined]])/365</f>
        <v>4.4547945205479449</v>
      </c>
      <c r="J30" s="20">
        <f ca="1">ROUNDUP(IF(staff[[#This Row],[Tenure]]&gt;3,3%,2%)*staff[[#This Row],[Salary]],0)</f>
        <v>1470</v>
      </c>
      <c r="K30" s="29">
        <f>_xlfn.XLOOKUP(staff[[#This Row],[Rating]],Analysis!$B$2:$B$6,Analysis!$C$2:$C$6)</f>
        <v>3</v>
      </c>
      <c r="N30" s="14" t="s">
        <v>5</v>
      </c>
      <c r="O30" s="15">
        <f ca="1"/>
        <v>79570</v>
      </c>
    </row>
    <row r="31" spans="1:21" x14ac:dyDescent="0.35">
      <c r="A31" t="s">
        <v>53</v>
      </c>
      <c r="B31" t="s">
        <v>15</v>
      </c>
      <c r="C31">
        <v>27</v>
      </c>
      <c r="D31" t="s">
        <v>16</v>
      </c>
      <c r="E31" s="6">
        <v>44567</v>
      </c>
      <c r="F31" t="s">
        <v>21</v>
      </c>
      <c r="G31" s="20">
        <v>48980</v>
      </c>
      <c r="H31" t="s">
        <v>208</v>
      </c>
      <c r="I31" s="7">
        <f ca="1">(TODAY()-staff[[#This Row],[Date Joined]])/365</f>
        <v>4.2876712328767121</v>
      </c>
      <c r="J31" s="20">
        <f ca="1">ROUNDUP(IF(staff[[#This Row],[Tenure]]&gt;3,3%,2%)*staff[[#This Row],[Salary]],0)</f>
        <v>1470</v>
      </c>
      <c r="K31" s="29">
        <f>_xlfn.XLOOKUP(staff[[#This Row],[Rating]],Analysis!$B$2:$B$6,Analysis!$C$2:$C$6)</f>
        <v>3</v>
      </c>
      <c r="N31" s="14" t="s">
        <v>205</v>
      </c>
      <c r="O31" s="12" t="str">
        <f ca="1"/>
        <v>India</v>
      </c>
    </row>
    <row r="32" spans="1:21" x14ac:dyDescent="0.35">
      <c r="A32" t="s">
        <v>165</v>
      </c>
      <c r="B32" t="s">
        <v>8</v>
      </c>
      <c r="C32">
        <v>34</v>
      </c>
      <c r="D32" t="s">
        <v>24</v>
      </c>
      <c r="E32" s="6">
        <v>44660</v>
      </c>
      <c r="F32" t="s">
        <v>19</v>
      </c>
      <c r="G32" s="20">
        <v>49630</v>
      </c>
      <c r="H32" t="s">
        <v>206</v>
      </c>
      <c r="I32" s="7">
        <f ca="1">(TODAY()-staff[[#This Row],[Date Joined]])/365</f>
        <v>4.0328767123287674</v>
      </c>
      <c r="J32" s="20">
        <f ca="1">ROUNDUP(IF(staff[[#This Row],[Tenure]]&gt;3,3%,2%)*staff[[#This Row],[Salary]],0)</f>
        <v>1489</v>
      </c>
      <c r="K32" s="29">
        <f>_xlfn.XLOOKUP(staff[[#This Row],[Rating]],Analysis!$B$2:$B$6,Analysis!$C$2:$C$6)</f>
        <v>2</v>
      </c>
      <c r="N32" s="14" t="s">
        <v>214</v>
      </c>
      <c r="O32" s="12">
        <f ca="1"/>
        <v>3.9698630136986299</v>
      </c>
    </row>
    <row r="33" spans="1:14" x14ac:dyDescent="0.35">
      <c r="A33" t="s">
        <v>73</v>
      </c>
      <c r="B33" t="s">
        <v>8</v>
      </c>
      <c r="C33">
        <v>34</v>
      </c>
      <c r="D33" t="s">
        <v>24</v>
      </c>
      <c r="E33" s="6">
        <v>44721</v>
      </c>
      <c r="F33" t="s">
        <v>19</v>
      </c>
      <c r="G33" s="20">
        <v>49630</v>
      </c>
      <c r="H33" t="s">
        <v>208</v>
      </c>
      <c r="I33" s="7">
        <f ca="1">(TODAY()-staff[[#This Row],[Date Joined]])/365</f>
        <v>3.8657534246575342</v>
      </c>
      <c r="J33" s="20">
        <f ca="1">ROUNDUP(IF(staff[[#This Row],[Tenure]]&gt;3,3%,2%)*staff[[#This Row],[Salary]],0)</f>
        <v>1489</v>
      </c>
      <c r="K33" s="29">
        <f>_xlfn.XLOOKUP(staff[[#This Row],[Rating]],Analysis!$B$2:$B$6,Analysis!$C$2:$C$6)</f>
        <v>2</v>
      </c>
    </row>
    <row r="34" spans="1:14" x14ac:dyDescent="0.35">
      <c r="A34" t="s">
        <v>155</v>
      </c>
      <c r="B34" t="s">
        <v>15</v>
      </c>
      <c r="C34">
        <v>24</v>
      </c>
      <c r="D34" t="s">
        <v>24</v>
      </c>
      <c r="E34" s="6">
        <v>44375</v>
      </c>
      <c r="F34" t="s">
        <v>21</v>
      </c>
      <c r="G34" s="20">
        <v>52610</v>
      </c>
      <c r="H34" t="s">
        <v>206</v>
      </c>
      <c r="I34" s="7">
        <f ca="1">(TODAY()-staff[[#This Row],[Date Joined]])/365</f>
        <v>4.8136986301369866</v>
      </c>
      <c r="J34" s="20">
        <f ca="1">ROUNDUP(IF(staff[[#This Row],[Tenure]]&gt;3,3%,2%)*staff[[#This Row],[Salary]],0)</f>
        <v>1579</v>
      </c>
      <c r="K34" s="29">
        <f>_xlfn.XLOOKUP(staff[[#This Row],[Rating]],Analysis!$B$2:$B$6,Analysis!$C$2:$C$6)</f>
        <v>2</v>
      </c>
    </row>
    <row r="35" spans="1:14" x14ac:dyDescent="0.35">
      <c r="A35" t="s">
        <v>63</v>
      </c>
      <c r="B35" t="s">
        <v>15</v>
      </c>
      <c r="C35">
        <v>24</v>
      </c>
      <c r="D35" t="s">
        <v>24</v>
      </c>
      <c r="E35" s="6">
        <v>44436</v>
      </c>
      <c r="F35" t="s">
        <v>21</v>
      </c>
      <c r="G35" s="20">
        <v>52610</v>
      </c>
      <c r="H35" t="s">
        <v>208</v>
      </c>
      <c r="I35" s="7">
        <f ca="1">(TODAY()-staff[[#This Row],[Date Joined]])/365</f>
        <v>4.646575342465753</v>
      </c>
      <c r="J35" s="20">
        <f ca="1">ROUNDUP(IF(staff[[#This Row],[Tenure]]&gt;3,3%,2%)*staff[[#This Row],[Salary]],0)</f>
        <v>1579</v>
      </c>
      <c r="K35" s="29">
        <f>_xlfn.XLOOKUP(staff[[#This Row],[Rating]],Analysis!$B$2:$B$6,Analysis!$C$2:$C$6)</f>
        <v>2</v>
      </c>
      <c r="N35" s="14" t="s">
        <v>221</v>
      </c>
    </row>
    <row r="36" spans="1:14" x14ac:dyDescent="0.35">
      <c r="A36" t="s">
        <v>167</v>
      </c>
      <c r="B36" t="s">
        <v>8</v>
      </c>
      <c r="C36">
        <v>28</v>
      </c>
      <c r="D36" t="s">
        <v>16</v>
      </c>
      <c r="E36" s="6">
        <v>44296</v>
      </c>
      <c r="F36" t="s">
        <v>19</v>
      </c>
      <c r="G36" s="20">
        <v>53240</v>
      </c>
      <c r="H36" t="s">
        <v>206</v>
      </c>
      <c r="I36" s="7">
        <f ca="1">(TODAY()-staff[[#This Row],[Date Joined]])/365</f>
        <v>5.0301369863013701</v>
      </c>
      <c r="J36" s="20">
        <f ca="1">ROUNDUP(IF(staff[[#This Row],[Tenure]]&gt;3,3%,2%)*staff[[#This Row],[Salary]],0)</f>
        <v>1598</v>
      </c>
      <c r="K36" s="29">
        <f>_xlfn.XLOOKUP(staff[[#This Row],[Rating]],Analysis!$B$2:$B$6,Analysis!$C$2:$C$6)</f>
        <v>3</v>
      </c>
    </row>
    <row r="37" spans="1:14" x14ac:dyDescent="0.35">
      <c r="A37" t="s">
        <v>75</v>
      </c>
      <c r="B37" t="s">
        <v>8</v>
      </c>
      <c r="C37">
        <v>28</v>
      </c>
      <c r="D37" t="s">
        <v>16</v>
      </c>
      <c r="E37" s="6">
        <v>44357</v>
      </c>
      <c r="F37" t="s">
        <v>19</v>
      </c>
      <c r="G37" s="20">
        <v>53240</v>
      </c>
      <c r="H37" t="s">
        <v>208</v>
      </c>
      <c r="I37" s="7">
        <f ca="1">(TODAY()-staff[[#This Row],[Date Joined]])/365</f>
        <v>4.8630136986301373</v>
      </c>
      <c r="J37" s="20">
        <f ca="1">ROUNDUP(IF(staff[[#This Row],[Tenure]]&gt;3,3%,2%)*staff[[#This Row],[Salary]],0)</f>
        <v>1598</v>
      </c>
      <c r="K37" s="29">
        <f>_xlfn.XLOOKUP(staff[[#This Row],[Rating]],Analysis!$B$2:$B$6,Analysis!$C$2:$C$6)</f>
        <v>3</v>
      </c>
    </row>
    <row r="38" spans="1:14" x14ac:dyDescent="0.35">
      <c r="A38" t="s">
        <v>157</v>
      </c>
      <c r="B38" t="s">
        <v>15</v>
      </c>
      <c r="C38">
        <v>32</v>
      </c>
      <c r="D38" t="s">
        <v>16</v>
      </c>
      <c r="E38" s="6">
        <v>44403</v>
      </c>
      <c r="F38" t="s">
        <v>19</v>
      </c>
      <c r="G38" s="20">
        <v>53540</v>
      </c>
      <c r="H38" t="s">
        <v>206</v>
      </c>
      <c r="I38" s="7">
        <f ca="1">(TODAY()-staff[[#This Row],[Date Joined]])/365</f>
        <v>4.7369863013698632</v>
      </c>
      <c r="J38" s="20">
        <f ca="1">ROUNDUP(IF(staff[[#This Row],[Tenure]]&gt;3,3%,2%)*staff[[#This Row],[Salary]],0)</f>
        <v>1607</v>
      </c>
      <c r="K38" s="29">
        <f>_xlfn.XLOOKUP(staff[[#This Row],[Rating]],Analysis!$B$2:$B$6,Analysis!$C$2:$C$6)</f>
        <v>3</v>
      </c>
    </row>
    <row r="39" spans="1:14" x14ac:dyDescent="0.35">
      <c r="A39" t="s">
        <v>139</v>
      </c>
      <c r="B39" t="s">
        <v>15</v>
      </c>
      <c r="C39">
        <v>26</v>
      </c>
      <c r="D39" t="s">
        <v>16</v>
      </c>
      <c r="E39" s="6">
        <v>44350</v>
      </c>
      <c r="F39" t="s">
        <v>9</v>
      </c>
      <c r="G39" s="20">
        <v>53540</v>
      </c>
      <c r="H39" t="s">
        <v>206</v>
      </c>
      <c r="I39" s="7">
        <f ca="1">(TODAY()-staff[[#This Row],[Date Joined]])/365</f>
        <v>4.882191780821918</v>
      </c>
      <c r="J39" s="20">
        <f ca="1">ROUNDUP(IF(staff[[#This Row],[Tenure]]&gt;3,3%,2%)*staff[[#This Row],[Salary]],0)</f>
        <v>1607</v>
      </c>
      <c r="K39" s="29">
        <f>_xlfn.XLOOKUP(staff[[#This Row],[Rating]],Analysis!$B$2:$B$6,Analysis!$C$2:$C$6)</f>
        <v>3</v>
      </c>
    </row>
    <row r="40" spans="1:14" x14ac:dyDescent="0.35">
      <c r="A40" t="s">
        <v>65</v>
      </c>
      <c r="B40" t="s">
        <v>15</v>
      </c>
      <c r="C40">
        <v>32</v>
      </c>
      <c r="D40" t="s">
        <v>16</v>
      </c>
      <c r="E40" s="6">
        <v>44465</v>
      </c>
      <c r="F40" t="s">
        <v>19</v>
      </c>
      <c r="G40" s="20">
        <v>53540</v>
      </c>
      <c r="H40" t="s">
        <v>208</v>
      </c>
      <c r="I40" s="7">
        <f ca="1">(TODAY()-staff[[#This Row],[Date Joined]])/365</f>
        <v>4.5671232876712331</v>
      </c>
      <c r="J40" s="20">
        <f ca="1">ROUNDUP(IF(staff[[#This Row],[Tenure]]&gt;3,3%,2%)*staff[[#This Row],[Salary]],0)</f>
        <v>1607</v>
      </c>
      <c r="K40" s="29">
        <f>_xlfn.XLOOKUP(staff[[#This Row],[Rating]],Analysis!$B$2:$B$6,Analysis!$C$2:$C$6)</f>
        <v>3</v>
      </c>
    </row>
    <row r="41" spans="1:14" x14ac:dyDescent="0.35">
      <c r="A41" t="s">
        <v>46</v>
      </c>
      <c r="B41" t="s">
        <v>15</v>
      </c>
      <c r="C41">
        <v>26</v>
      </c>
      <c r="D41" t="s">
        <v>16</v>
      </c>
      <c r="E41" s="6">
        <v>44411</v>
      </c>
      <c r="F41" t="s">
        <v>9</v>
      </c>
      <c r="G41" s="20">
        <v>53540</v>
      </c>
      <c r="H41" t="s">
        <v>208</v>
      </c>
      <c r="I41" s="7">
        <f ca="1">(TODAY()-staff[[#This Row],[Date Joined]])/365</f>
        <v>4.7150684931506852</v>
      </c>
      <c r="J41" s="20">
        <f ca="1">ROUNDUP(IF(staff[[#This Row],[Tenure]]&gt;3,3%,2%)*staff[[#This Row],[Salary]],0)</f>
        <v>1607</v>
      </c>
      <c r="K41" s="29">
        <f>_xlfn.XLOOKUP(staff[[#This Row],[Rating]],Analysis!$B$2:$B$6,Analysis!$C$2:$C$6)</f>
        <v>3</v>
      </c>
    </row>
    <row r="42" spans="1:14" x14ac:dyDescent="0.35">
      <c r="A42" t="s">
        <v>174</v>
      </c>
      <c r="B42" t="s">
        <v>15</v>
      </c>
      <c r="C42">
        <v>33</v>
      </c>
      <c r="D42" t="s">
        <v>16</v>
      </c>
      <c r="E42" s="6">
        <v>44448</v>
      </c>
      <c r="F42" t="s">
        <v>12</v>
      </c>
      <c r="G42" s="20">
        <v>53870</v>
      </c>
      <c r="H42" t="s">
        <v>206</v>
      </c>
      <c r="I42" s="7">
        <f ca="1">(TODAY()-staff[[#This Row],[Date Joined]])/365</f>
        <v>4.6136986301369864</v>
      </c>
      <c r="J42" s="20">
        <f ca="1">ROUNDUP(IF(staff[[#This Row],[Tenure]]&gt;3,3%,2%)*staff[[#This Row],[Salary]],0)</f>
        <v>1617</v>
      </c>
      <c r="K42" s="29">
        <f>_xlfn.XLOOKUP(staff[[#This Row],[Rating]],Analysis!$B$2:$B$6,Analysis!$C$2:$C$6)</f>
        <v>3</v>
      </c>
    </row>
    <row r="43" spans="1:14" x14ac:dyDescent="0.35">
      <c r="A43" t="s">
        <v>82</v>
      </c>
      <c r="B43" t="s">
        <v>15</v>
      </c>
      <c r="C43">
        <v>33</v>
      </c>
      <c r="D43" t="s">
        <v>16</v>
      </c>
      <c r="E43" s="6">
        <v>44509</v>
      </c>
      <c r="F43" t="s">
        <v>12</v>
      </c>
      <c r="G43" s="20">
        <v>53870</v>
      </c>
      <c r="H43" t="s">
        <v>208</v>
      </c>
      <c r="I43" s="7">
        <f ca="1">(TODAY()-staff[[#This Row],[Date Joined]])/365</f>
        <v>4.4465753424657537</v>
      </c>
      <c r="J43" s="20">
        <f ca="1">ROUNDUP(IF(staff[[#This Row],[Tenure]]&gt;3,3%,2%)*staff[[#This Row],[Salary]],0)</f>
        <v>1617</v>
      </c>
      <c r="K43" s="29">
        <f>_xlfn.XLOOKUP(staff[[#This Row],[Rating]],Analysis!$B$2:$B$6,Analysis!$C$2:$C$6)</f>
        <v>3</v>
      </c>
    </row>
    <row r="44" spans="1:14" x14ac:dyDescent="0.35">
      <c r="A44" t="s">
        <v>182</v>
      </c>
      <c r="B44" t="s">
        <v>15</v>
      </c>
      <c r="C44">
        <v>27</v>
      </c>
      <c r="D44" t="s">
        <v>16</v>
      </c>
      <c r="E44" s="6">
        <v>44073</v>
      </c>
      <c r="F44" t="s">
        <v>19</v>
      </c>
      <c r="G44" s="20">
        <v>54970</v>
      </c>
      <c r="H44" t="s">
        <v>206</v>
      </c>
      <c r="I44" s="7">
        <f ca="1">(TODAY()-staff[[#This Row],[Date Joined]])/365</f>
        <v>5.6410958904109592</v>
      </c>
      <c r="J44" s="20">
        <f ca="1">ROUNDUP(IF(staff[[#This Row],[Tenure]]&gt;3,3%,2%)*staff[[#This Row],[Salary]],0)</f>
        <v>1650</v>
      </c>
      <c r="K44" s="29">
        <f>_xlfn.XLOOKUP(staff[[#This Row],[Rating]],Analysis!$B$2:$B$6,Analysis!$C$2:$C$6)</f>
        <v>3</v>
      </c>
    </row>
    <row r="45" spans="1:14" x14ac:dyDescent="0.35">
      <c r="A45" t="s">
        <v>89</v>
      </c>
      <c r="B45" t="s">
        <v>15</v>
      </c>
      <c r="C45">
        <v>27</v>
      </c>
      <c r="D45" t="s">
        <v>16</v>
      </c>
      <c r="E45" s="6">
        <v>44134</v>
      </c>
      <c r="F45" t="s">
        <v>19</v>
      </c>
      <c r="G45" s="20">
        <v>54970</v>
      </c>
      <c r="H45" t="s">
        <v>208</v>
      </c>
      <c r="I45" s="7">
        <f ca="1">(TODAY()-staff[[#This Row],[Date Joined]])/365</f>
        <v>5.4739726027397264</v>
      </c>
      <c r="J45" s="20">
        <f ca="1">ROUNDUP(IF(staff[[#This Row],[Tenure]]&gt;3,3%,2%)*staff[[#This Row],[Salary]],0)</f>
        <v>1650</v>
      </c>
      <c r="K45" s="29">
        <f>_xlfn.XLOOKUP(staff[[#This Row],[Rating]],Analysis!$B$2:$B$6,Analysis!$C$2:$C$6)</f>
        <v>3</v>
      </c>
    </row>
    <row r="46" spans="1:14" x14ac:dyDescent="0.35">
      <c r="A46" t="s">
        <v>202</v>
      </c>
      <c r="B46" t="s">
        <v>8</v>
      </c>
      <c r="C46">
        <v>38</v>
      </c>
      <c r="D46" t="s">
        <v>13</v>
      </c>
      <c r="E46" s="6">
        <v>44268</v>
      </c>
      <c r="F46" t="s">
        <v>19</v>
      </c>
      <c r="G46" s="20">
        <v>56870</v>
      </c>
      <c r="H46" t="s">
        <v>206</v>
      </c>
      <c r="I46" s="7">
        <f ca="1">(TODAY()-staff[[#This Row],[Date Joined]])/365</f>
        <v>5.1068493150684935</v>
      </c>
      <c r="J46" s="20">
        <f ca="1">ROUNDUP(IF(staff[[#This Row],[Tenure]]&gt;3,3%,2%)*staff[[#This Row],[Salary]],0)</f>
        <v>1707</v>
      </c>
      <c r="K46" s="29">
        <f>_xlfn.XLOOKUP(staff[[#This Row],[Rating]],Analysis!$B$2:$B$6,Analysis!$C$2:$C$6)</f>
        <v>4</v>
      </c>
    </row>
    <row r="47" spans="1:14" x14ac:dyDescent="0.35">
      <c r="A47" t="s">
        <v>109</v>
      </c>
      <c r="B47" t="s">
        <v>8</v>
      </c>
      <c r="C47">
        <v>38</v>
      </c>
      <c r="D47" t="s">
        <v>13</v>
      </c>
      <c r="E47" s="6">
        <v>44329</v>
      </c>
      <c r="F47" t="s">
        <v>19</v>
      </c>
      <c r="G47" s="20">
        <v>56870</v>
      </c>
      <c r="H47" t="s">
        <v>208</v>
      </c>
      <c r="I47" s="7">
        <f ca="1">(TODAY()-staff[[#This Row],[Date Joined]])/365</f>
        <v>4.9397260273972599</v>
      </c>
      <c r="J47" s="20">
        <f ca="1">ROUNDUP(IF(staff[[#This Row],[Tenure]]&gt;3,3%,2%)*staff[[#This Row],[Salary]],0)</f>
        <v>1707</v>
      </c>
      <c r="K47" s="29">
        <f>_xlfn.XLOOKUP(staff[[#This Row],[Rating]],Analysis!$B$2:$B$6,Analysis!$C$2:$C$6)</f>
        <v>4</v>
      </c>
    </row>
    <row r="48" spans="1:14" x14ac:dyDescent="0.35">
      <c r="A48" t="s">
        <v>125</v>
      </c>
      <c r="B48" t="s">
        <v>15</v>
      </c>
      <c r="C48">
        <v>21</v>
      </c>
      <c r="D48" t="s">
        <v>16</v>
      </c>
      <c r="E48" s="6">
        <v>44701</v>
      </c>
      <c r="F48" t="s">
        <v>9</v>
      </c>
      <c r="G48" s="20">
        <v>57090</v>
      </c>
      <c r="H48" t="s">
        <v>206</v>
      </c>
      <c r="I48" s="7">
        <f ca="1">(TODAY()-staff[[#This Row],[Date Joined]])/365</f>
        <v>3.9205479452054797</v>
      </c>
      <c r="J48" s="20">
        <f ca="1">ROUNDUP(IF(staff[[#This Row],[Tenure]]&gt;3,3%,2%)*staff[[#This Row],[Salary]],0)</f>
        <v>1713</v>
      </c>
      <c r="K48" s="29">
        <f>_xlfn.XLOOKUP(staff[[#This Row],[Rating]],Analysis!$B$2:$B$6,Analysis!$C$2:$C$6)</f>
        <v>3</v>
      </c>
    </row>
    <row r="49" spans="1:11" x14ac:dyDescent="0.35">
      <c r="A49" t="s">
        <v>31</v>
      </c>
      <c r="B49" t="s">
        <v>15</v>
      </c>
      <c r="C49">
        <v>21</v>
      </c>
      <c r="D49" t="s">
        <v>16</v>
      </c>
      <c r="E49" s="6">
        <v>44762</v>
      </c>
      <c r="F49" t="s">
        <v>9</v>
      </c>
      <c r="G49" s="20">
        <v>57090</v>
      </c>
      <c r="H49" t="s">
        <v>208</v>
      </c>
      <c r="I49" s="7">
        <f ca="1">(TODAY()-staff[[#This Row],[Date Joined]])/365</f>
        <v>3.7534246575342465</v>
      </c>
      <c r="J49" s="20">
        <f ca="1">ROUNDUP(IF(staff[[#This Row],[Tenure]]&gt;3,3%,2%)*staff[[#This Row],[Salary]],0)</f>
        <v>1713</v>
      </c>
      <c r="K49" s="29">
        <f>_xlfn.XLOOKUP(staff[[#This Row],[Rating]],Analysis!$B$2:$B$6,Analysis!$C$2:$C$6)</f>
        <v>3</v>
      </c>
    </row>
    <row r="50" spans="1:11" x14ac:dyDescent="0.35">
      <c r="A50" t="s">
        <v>120</v>
      </c>
      <c r="B50" t="s">
        <v>8</v>
      </c>
      <c r="C50">
        <v>31</v>
      </c>
      <c r="D50" t="s">
        <v>16</v>
      </c>
      <c r="E50" s="6">
        <v>44604</v>
      </c>
      <c r="F50" t="s">
        <v>12</v>
      </c>
      <c r="G50" s="20">
        <v>58100</v>
      </c>
      <c r="H50" t="s">
        <v>206</v>
      </c>
      <c r="I50" s="7">
        <f ca="1">(TODAY()-staff[[#This Row],[Date Joined]])/365</f>
        <v>4.1863013698630134</v>
      </c>
      <c r="J50" s="20">
        <f ca="1">ROUNDUP(IF(staff[[#This Row],[Tenure]]&gt;3,3%,2%)*staff[[#This Row],[Salary]],0)</f>
        <v>1743</v>
      </c>
      <c r="K50" s="29">
        <f>_xlfn.XLOOKUP(staff[[#This Row],[Rating]],Analysis!$B$2:$B$6,Analysis!$C$2:$C$6)</f>
        <v>3</v>
      </c>
    </row>
    <row r="51" spans="1:11" x14ac:dyDescent="0.35">
      <c r="A51" t="s">
        <v>26</v>
      </c>
      <c r="B51" t="s">
        <v>8</v>
      </c>
      <c r="C51">
        <v>31</v>
      </c>
      <c r="D51" t="s">
        <v>16</v>
      </c>
      <c r="E51" s="6">
        <v>44663</v>
      </c>
      <c r="F51" t="s">
        <v>12</v>
      </c>
      <c r="G51" s="20">
        <v>58100</v>
      </c>
      <c r="H51" t="s">
        <v>208</v>
      </c>
      <c r="I51" s="7">
        <f ca="1">(TODAY()-staff[[#This Row],[Date Joined]])/365</f>
        <v>4.0246575342465754</v>
      </c>
      <c r="J51" s="20">
        <f ca="1">ROUNDUP(IF(staff[[#This Row],[Tenure]]&gt;3,3%,2%)*staff[[#This Row],[Salary]],0)</f>
        <v>1743</v>
      </c>
      <c r="K51" s="29">
        <f>_xlfn.XLOOKUP(staff[[#This Row],[Rating]],Analysis!$B$2:$B$6,Analysis!$C$2:$C$6)</f>
        <v>3</v>
      </c>
    </row>
    <row r="52" spans="1:11" x14ac:dyDescent="0.35">
      <c r="A52" t="s">
        <v>130</v>
      </c>
      <c r="B52" t="s">
        <v>8</v>
      </c>
      <c r="C52">
        <v>34</v>
      </c>
      <c r="D52" t="s">
        <v>16</v>
      </c>
      <c r="E52" s="6">
        <v>44594</v>
      </c>
      <c r="F52" t="s">
        <v>21</v>
      </c>
      <c r="G52" s="20">
        <v>58940</v>
      </c>
      <c r="H52" t="s">
        <v>206</v>
      </c>
      <c r="I52" s="7">
        <f ca="1">(TODAY()-staff[[#This Row],[Date Joined]])/365</f>
        <v>4.2136986301369861</v>
      </c>
      <c r="J52" s="20">
        <f ca="1">ROUNDUP(IF(staff[[#This Row],[Tenure]]&gt;3,3%,2%)*staff[[#This Row],[Salary]],0)</f>
        <v>1769</v>
      </c>
      <c r="K52" s="29">
        <f>_xlfn.XLOOKUP(staff[[#This Row],[Rating]],Analysis!$B$2:$B$6,Analysis!$C$2:$C$6)</f>
        <v>3</v>
      </c>
    </row>
    <row r="53" spans="1:11" x14ac:dyDescent="0.35">
      <c r="A53" t="s">
        <v>36</v>
      </c>
      <c r="B53" t="s">
        <v>8</v>
      </c>
      <c r="C53">
        <v>34</v>
      </c>
      <c r="D53" t="s">
        <v>16</v>
      </c>
      <c r="E53" s="6">
        <v>44653</v>
      </c>
      <c r="F53" t="s">
        <v>21</v>
      </c>
      <c r="G53" s="20">
        <v>58940</v>
      </c>
      <c r="H53" t="s">
        <v>208</v>
      </c>
      <c r="I53" s="7">
        <f ca="1">(TODAY()-staff[[#This Row],[Date Joined]])/365</f>
        <v>4.0520547945205481</v>
      </c>
      <c r="J53" s="20">
        <f ca="1">ROUNDUP(IF(staff[[#This Row],[Tenure]]&gt;3,3%,2%)*staff[[#This Row],[Salary]],0)</f>
        <v>1769</v>
      </c>
      <c r="K53" s="29">
        <f>_xlfn.XLOOKUP(staff[[#This Row],[Rating]],Analysis!$B$2:$B$6,Analysis!$C$2:$C$6)</f>
        <v>3</v>
      </c>
    </row>
    <row r="54" spans="1:11" x14ac:dyDescent="0.35">
      <c r="A54" t="s">
        <v>193</v>
      </c>
      <c r="B54" t="s">
        <v>15</v>
      </c>
      <c r="C54">
        <v>19</v>
      </c>
      <c r="D54" t="s">
        <v>16</v>
      </c>
      <c r="E54" s="6">
        <v>44218</v>
      </c>
      <c r="F54" t="s">
        <v>9</v>
      </c>
      <c r="G54" s="20">
        <v>58960</v>
      </c>
      <c r="H54" t="s">
        <v>206</v>
      </c>
      <c r="I54" s="7">
        <f ca="1">(TODAY()-staff[[#This Row],[Date Joined]])/365</f>
        <v>5.2438356164383562</v>
      </c>
      <c r="J54" s="20">
        <f ca="1">ROUNDUP(IF(staff[[#This Row],[Tenure]]&gt;3,3%,2%)*staff[[#This Row],[Salary]],0)</f>
        <v>1769</v>
      </c>
      <c r="K54" s="29">
        <f>_xlfn.XLOOKUP(staff[[#This Row],[Rating]],Analysis!$B$2:$B$6,Analysis!$C$2:$C$6)</f>
        <v>3</v>
      </c>
    </row>
    <row r="55" spans="1:11" x14ac:dyDescent="0.35">
      <c r="A55" t="s">
        <v>100</v>
      </c>
      <c r="B55" t="s">
        <v>15</v>
      </c>
      <c r="C55">
        <v>19</v>
      </c>
      <c r="D55" t="s">
        <v>16</v>
      </c>
      <c r="E55" s="6">
        <v>44277</v>
      </c>
      <c r="F55" t="s">
        <v>9</v>
      </c>
      <c r="G55" s="20">
        <v>58960</v>
      </c>
      <c r="H55" t="s">
        <v>208</v>
      </c>
      <c r="I55" s="7">
        <f ca="1">(TODAY()-staff[[#This Row],[Date Joined]])/365</f>
        <v>5.0821917808219181</v>
      </c>
      <c r="J55" s="20">
        <f ca="1">ROUNDUP(IF(staff[[#This Row],[Tenure]]&gt;3,3%,2%)*staff[[#This Row],[Salary]],0)</f>
        <v>1769</v>
      </c>
      <c r="K55" s="29">
        <f>_xlfn.XLOOKUP(staff[[#This Row],[Rating]],Analysis!$B$2:$B$6,Analysis!$C$2:$C$6)</f>
        <v>3</v>
      </c>
    </row>
    <row r="56" spans="1:11" x14ac:dyDescent="0.35">
      <c r="A56" t="s">
        <v>171</v>
      </c>
      <c r="B56" t="s">
        <v>15</v>
      </c>
      <c r="C56">
        <v>33</v>
      </c>
      <c r="D56" t="s">
        <v>16</v>
      </c>
      <c r="E56" s="6">
        <v>44181</v>
      </c>
      <c r="F56" t="s">
        <v>21</v>
      </c>
      <c r="G56" s="20">
        <v>59430</v>
      </c>
      <c r="H56" t="s">
        <v>206</v>
      </c>
      <c r="I56" s="7">
        <f ca="1">(TODAY()-staff[[#This Row],[Date Joined]])/365</f>
        <v>5.3452054794520549</v>
      </c>
      <c r="J56" s="20">
        <f ca="1">ROUNDUP(IF(staff[[#This Row],[Tenure]]&gt;3,3%,2%)*staff[[#This Row],[Salary]],0)</f>
        <v>1783</v>
      </c>
      <c r="K56" s="29">
        <f>_xlfn.XLOOKUP(staff[[#This Row],[Rating]],Analysis!$B$2:$B$6,Analysis!$C$2:$C$6)</f>
        <v>3</v>
      </c>
    </row>
    <row r="57" spans="1:11" x14ac:dyDescent="0.35">
      <c r="A57" t="s">
        <v>79</v>
      </c>
      <c r="B57" t="s">
        <v>15</v>
      </c>
      <c r="C57">
        <v>33</v>
      </c>
      <c r="D57" t="s">
        <v>16</v>
      </c>
      <c r="E57" s="6">
        <v>44243</v>
      </c>
      <c r="F57" t="s">
        <v>21</v>
      </c>
      <c r="G57" s="20">
        <v>59430</v>
      </c>
      <c r="H57" t="s">
        <v>208</v>
      </c>
      <c r="I57" s="7">
        <f ca="1">(TODAY()-staff[[#This Row],[Date Joined]])/365</f>
        <v>5.1753424657534248</v>
      </c>
      <c r="J57" s="20">
        <f ca="1">ROUNDUP(IF(staff[[#This Row],[Tenure]]&gt;3,3%,2%)*staff[[#This Row],[Salary]],0)</f>
        <v>1783</v>
      </c>
      <c r="K57" s="29">
        <f>_xlfn.XLOOKUP(staff[[#This Row],[Rating]],Analysis!$B$2:$B$6,Analysis!$C$2:$C$6)</f>
        <v>3</v>
      </c>
    </row>
    <row r="58" spans="1:11" x14ac:dyDescent="0.35">
      <c r="A58" t="s">
        <v>132</v>
      </c>
      <c r="B58" t="s">
        <v>8</v>
      </c>
      <c r="C58">
        <v>34</v>
      </c>
      <c r="D58" t="s">
        <v>16</v>
      </c>
      <c r="E58" s="6">
        <v>44550</v>
      </c>
      <c r="F58" t="s">
        <v>21</v>
      </c>
      <c r="G58" s="20">
        <v>60130</v>
      </c>
      <c r="H58" t="s">
        <v>206</v>
      </c>
      <c r="I58" s="7">
        <f ca="1">(TODAY()-staff[[#This Row],[Date Joined]])/365</f>
        <v>4.3342465753424655</v>
      </c>
      <c r="J58" s="20">
        <f ca="1">ROUNDUP(IF(staff[[#This Row],[Tenure]]&gt;3,3%,2%)*staff[[#This Row],[Salary]],0)</f>
        <v>1804</v>
      </c>
      <c r="K58" s="29">
        <f>_xlfn.XLOOKUP(staff[[#This Row],[Rating]],Analysis!$B$2:$B$6,Analysis!$C$2:$C$6)</f>
        <v>3</v>
      </c>
    </row>
    <row r="59" spans="1:11" x14ac:dyDescent="0.35">
      <c r="A59" t="s">
        <v>38</v>
      </c>
      <c r="B59" t="s">
        <v>8</v>
      </c>
      <c r="C59">
        <v>34</v>
      </c>
      <c r="D59" t="s">
        <v>16</v>
      </c>
      <c r="E59" s="6">
        <v>44612</v>
      </c>
      <c r="F59" t="s">
        <v>21</v>
      </c>
      <c r="G59" s="20">
        <v>60130</v>
      </c>
      <c r="H59" t="s">
        <v>208</v>
      </c>
      <c r="I59" s="7">
        <f ca="1">(TODAY()-staff[[#This Row],[Date Joined]])/365</f>
        <v>4.1643835616438354</v>
      </c>
      <c r="J59" s="20">
        <f ca="1">ROUNDUP(IF(staff[[#This Row],[Tenure]]&gt;3,3%,2%)*staff[[#This Row],[Salary]],0)</f>
        <v>1804</v>
      </c>
      <c r="K59" s="29">
        <f>_xlfn.XLOOKUP(staff[[#This Row],[Rating]],Analysis!$B$2:$B$6,Analysis!$C$2:$C$6)</f>
        <v>3</v>
      </c>
    </row>
    <row r="60" spans="1:11" x14ac:dyDescent="0.35">
      <c r="A60" t="s">
        <v>131</v>
      </c>
      <c r="B60" t="s">
        <v>15</v>
      </c>
      <c r="C60">
        <v>30</v>
      </c>
      <c r="D60" t="s">
        <v>16</v>
      </c>
      <c r="E60" s="6">
        <v>44607</v>
      </c>
      <c r="F60" t="s">
        <v>9</v>
      </c>
      <c r="G60" s="20">
        <v>60570</v>
      </c>
      <c r="H60" t="s">
        <v>206</v>
      </c>
      <c r="I60" s="7">
        <f ca="1">(TODAY()-staff[[#This Row],[Date Joined]])/365</f>
        <v>4.1780821917808222</v>
      </c>
      <c r="J60" s="20">
        <f ca="1">ROUNDUP(IF(staff[[#This Row],[Tenure]]&gt;3,3%,2%)*staff[[#This Row],[Salary]],0)</f>
        <v>1818</v>
      </c>
      <c r="K60" s="29">
        <f>_xlfn.XLOOKUP(staff[[#This Row],[Rating]],Analysis!$B$2:$B$6,Analysis!$C$2:$C$6)</f>
        <v>3</v>
      </c>
    </row>
    <row r="61" spans="1:11" x14ac:dyDescent="0.35">
      <c r="A61" t="s">
        <v>37</v>
      </c>
      <c r="B61" t="s">
        <v>15</v>
      </c>
      <c r="C61">
        <v>30</v>
      </c>
      <c r="D61" t="s">
        <v>16</v>
      </c>
      <c r="E61" s="6">
        <v>44666</v>
      </c>
      <c r="F61" t="s">
        <v>9</v>
      </c>
      <c r="G61" s="20">
        <v>60570</v>
      </c>
      <c r="H61" t="s">
        <v>208</v>
      </c>
      <c r="I61" s="7">
        <f ca="1">(TODAY()-staff[[#This Row],[Date Joined]])/365</f>
        <v>4.0164383561643833</v>
      </c>
      <c r="J61" s="20">
        <f ca="1">ROUNDUP(IF(staff[[#This Row],[Tenure]]&gt;3,3%,2%)*staff[[#This Row],[Salary]],0)</f>
        <v>1818</v>
      </c>
      <c r="K61" s="29">
        <f>_xlfn.XLOOKUP(staff[[#This Row],[Rating]],Analysis!$B$2:$B$6,Analysis!$C$2:$C$6)</f>
        <v>3</v>
      </c>
    </row>
    <row r="62" spans="1:11" x14ac:dyDescent="0.35">
      <c r="A62" t="s">
        <v>153</v>
      </c>
      <c r="B62" t="s">
        <v>8</v>
      </c>
      <c r="C62">
        <v>24</v>
      </c>
      <c r="D62" t="s">
        <v>16</v>
      </c>
      <c r="E62" s="6">
        <v>44087</v>
      </c>
      <c r="F62" t="s">
        <v>12</v>
      </c>
      <c r="G62" s="20">
        <v>62780</v>
      </c>
      <c r="H62" t="s">
        <v>206</v>
      </c>
      <c r="I62" s="7">
        <f ca="1">(TODAY()-staff[[#This Row],[Date Joined]])/365</f>
        <v>5.602739726027397</v>
      </c>
      <c r="J62" s="20">
        <f ca="1">ROUNDUP(IF(staff[[#This Row],[Tenure]]&gt;3,3%,2%)*staff[[#This Row],[Salary]],0)</f>
        <v>1884</v>
      </c>
      <c r="K62" s="29">
        <f>_xlfn.XLOOKUP(staff[[#This Row],[Rating]],Analysis!$B$2:$B$6,Analysis!$C$2:$C$6)</f>
        <v>3</v>
      </c>
    </row>
    <row r="63" spans="1:11" x14ac:dyDescent="0.35">
      <c r="A63" t="s">
        <v>61</v>
      </c>
      <c r="B63" t="s">
        <v>8</v>
      </c>
      <c r="C63">
        <v>24</v>
      </c>
      <c r="D63" t="s">
        <v>16</v>
      </c>
      <c r="E63" s="6">
        <v>44148</v>
      </c>
      <c r="F63" t="s">
        <v>12</v>
      </c>
      <c r="G63" s="20">
        <v>62780</v>
      </c>
      <c r="H63" t="s">
        <v>208</v>
      </c>
      <c r="I63" s="7">
        <f ca="1">(TODAY()-staff[[#This Row],[Date Joined]])/365</f>
        <v>5.4356164383561643</v>
      </c>
      <c r="J63" s="20">
        <f ca="1">ROUNDUP(IF(staff[[#This Row],[Tenure]]&gt;3,3%,2%)*staff[[#This Row],[Salary]],0)</f>
        <v>1884</v>
      </c>
      <c r="K63" s="29">
        <f>_xlfn.XLOOKUP(staff[[#This Row],[Rating]],Analysis!$B$2:$B$6,Analysis!$C$2:$C$6)</f>
        <v>3</v>
      </c>
    </row>
    <row r="64" spans="1:11" x14ac:dyDescent="0.35">
      <c r="A64" t="s">
        <v>116</v>
      </c>
      <c r="B64" t="s">
        <v>207</v>
      </c>
      <c r="C64">
        <v>30</v>
      </c>
      <c r="D64" t="s">
        <v>16</v>
      </c>
      <c r="E64" s="6">
        <v>44535</v>
      </c>
      <c r="F64" t="s">
        <v>21</v>
      </c>
      <c r="G64" s="20">
        <v>64000</v>
      </c>
      <c r="H64" t="s">
        <v>206</v>
      </c>
      <c r="I64" s="7">
        <f ca="1">(TODAY()-staff[[#This Row],[Date Joined]])/365</f>
        <v>4.375342465753425</v>
      </c>
      <c r="J64" s="20">
        <f ca="1">ROUNDUP(IF(staff[[#This Row],[Tenure]]&gt;3,3%,2%)*staff[[#This Row],[Salary]],0)</f>
        <v>1920</v>
      </c>
      <c r="K64" s="29">
        <f>_xlfn.XLOOKUP(staff[[#This Row],[Rating]],Analysis!$B$2:$B$6,Analysis!$C$2:$C$6)</f>
        <v>3</v>
      </c>
    </row>
    <row r="65" spans="1:11" x14ac:dyDescent="0.35">
      <c r="A65" t="s">
        <v>20</v>
      </c>
      <c r="B65" t="s">
        <v>207</v>
      </c>
      <c r="C65">
        <v>30</v>
      </c>
      <c r="D65" t="s">
        <v>16</v>
      </c>
      <c r="E65" s="6">
        <v>44597</v>
      </c>
      <c r="F65" t="s">
        <v>21</v>
      </c>
      <c r="G65" s="20">
        <v>64000</v>
      </c>
      <c r="H65" t="s">
        <v>208</v>
      </c>
      <c r="I65" s="7">
        <f ca="1">(TODAY()-staff[[#This Row],[Date Joined]])/365</f>
        <v>4.2054794520547949</v>
      </c>
      <c r="J65" s="20">
        <f ca="1">ROUNDUP(IF(staff[[#This Row],[Tenure]]&gt;3,3%,2%)*staff[[#This Row],[Salary]],0)</f>
        <v>1920</v>
      </c>
      <c r="K65" s="29">
        <f>_xlfn.XLOOKUP(staff[[#This Row],[Rating]],Analysis!$B$2:$B$6,Analysis!$C$2:$C$6)</f>
        <v>3</v>
      </c>
    </row>
    <row r="66" spans="1:11" x14ac:dyDescent="0.35">
      <c r="A66" t="s">
        <v>186</v>
      </c>
      <c r="B66" t="s">
        <v>8</v>
      </c>
      <c r="C66">
        <v>33</v>
      </c>
      <c r="D66" t="s">
        <v>16</v>
      </c>
      <c r="E66" s="6">
        <v>44006</v>
      </c>
      <c r="F66" t="s">
        <v>21</v>
      </c>
      <c r="G66" s="20">
        <v>65360</v>
      </c>
      <c r="H66" t="s">
        <v>206</v>
      </c>
      <c r="I66" s="7">
        <f ca="1">(TODAY()-staff[[#This Row],[Date Joined]])/365</f>
        <v>5.8246575342465752</v>
      </c>
      <c r="J66" s="20">
        <f ca="1">ROUNDUP(IF(staff[[#This Row],[Tenure]]&gt;3,3%,2%)*staff[[#This Row],[Salary]],0)</f>
        <v>1961</v>
      </c>
      <c r="K66" s="29">
        <f>_xlfn.XLOOKUP(staff[[#This Row],[Rating]],Analysis!$B$2:$B$6,Analysis!$C$2:$C$6)</f>
        <v>3</v>
      </c>
    </row>
    <row r="67" spans="1:11" x14ac:dyDescent="0.35">
      <c r="A67" t="s">
        <v>93</v>
      </c>
      <c r="B67" t="s">
        <v>8</v>
      </c>
      <c r="C67">
        <v>33</v>
      </c>
      <c r="D67" t="s">
        <v>16</v>
      </c>
      <c r="E67" s="6">
        <v>44067</v>
      </c>
      <c r="F67" t="s">
        <v>21</v>
      </c>
      <c r="G67" s="20">
        <v>65360</v>
      </c>
      <c r="H67" t="s">
        <v>208</v>
      </c>
      <c r="I67" s="7">
        <f ca="1">(TODAY()-staff[[#This Row],[Date Joined]])/365</f>
        <v>5.6575342465753424</v>
      </c>
      <c r="J67" s="20">
        <f ca="1">ROUNDUP(IF(staff[[#This Row],[Tenure]]&gt;3,3%,2%)*staff[[#This Row],[Salary]],0)</f>
        <v>1961</v>
      </c>
      <c r="K67" s="29">
        <f>_xlfn.XLOOKUP(staff[[#This Row],[Rating]],Analysis!$B$2:$B$6,Analysis!$C$2:$C$6)</f>
        <v>3</v>
      </c>
    </row>
    <row r="68" spans="1:11" x14ac:dyDescent="0.35">
      <c r="A68" t="s">
        <v>168</v>
      </c>
      <c r="B68" t="s">
        <v>15</v>
      </c>
      <c r="C68">
        <v>25</v>
      </c>
      <c r="D68" t="s">
        <v>16</v>
      </c>
      <c r="E68" s="6">
        <v>44322</v>
      </c>
      <c r="F68" t="s">
        <v>19</v>
      </c>
      <c r="G68" s="20">
        <v>65700</v>
      </c>
      <c r="H68" t="s">
        <v>206</v>
      </c>
      <c r="I68" s="7">
        <f ca="1">(TODAY()-staff[[#This Row],[Date Joined]])/365</f>
        <v>4.9589041095890414</v>
      </c>
      <c r="J68" s="20">
        <f ca="1">ROUNDUP(IF(staff[[#This Row],[Tenure]]&gt;3,3%,2%)*staff[[#This Row],[Salary]],0)</f>
        <v>1971</v>
      </c>
      <c r="K68" s="29">
        <f>_xlfn.XLOOKUP(staff[[#This Row],[Rating]],Analysis!$B$2:$B$6,Analysis!$C$2:$C$6)</f>
        <v>3</v>
      </c>
    </row>
    <row r="69" spans="1:11" x14ac:dyDescent="0.35">
      <c r="A69" t="s">
        <v>76</v>
      </c>
      <c r="B69" t="s">
        <v>15</v>
      </c>
      <c r="C69">
        <v>25</v>
      </c>
      <c r="D69" t="s">
        <v>16</v>
      </c>
      <c r="E69" s="6">
        <v>44383</v>
      </c>
      <c r="F69" t="s">
        <v>19</v>
      </c>
      <c r="G69" s="20">
        <v>65700</v>
      </c>
      <c r="H69" t="s">
        <v>208</v>
      </c>
      <c r="I69" s="7">
        <f ca="1">(TODAY()-staff[[#This Row],[Date Joined]])/365</f>
        <v>4.7917808219178086</v>
      </c>
      <c r="J69" s="20">
        <f ca="1">ROUNDUP(IF(staff[[#This Row],[Tenure]]&gt;3,3%,2%)*staff[[#This Row],[Salary]],0)</f>
        <v>1971</v>
      </c>
      <c r="K69" s="29">
        <f>_xlfn.XLOOKUP(staff[[#This Row],[Rating]],Analysis!$B$2:$B$6,Analysis!$C$2:$C$6)</f>
        <v>3</v>
      </c>
    </row>
    <row r="70" spans="1:11" x14ac:dyDescent="0.35">
      <c r="A70" t="s">
        <v>126</v>
      </c>
      <c r="B70" t="s">
        <v>8</v>
      </c>
      <c r="C70">
        <v>21</v>
      </c>
      <c r="D70" t="s">
        <v>16</v>
      </c>
      <c r="E70" s="6">
        <v>44256</v>
      </c>
      <c r="F70" t="s">
        <v>21</v>
      </c>
      <c r="G70" s="20">
        <v>65920</v>
      </c>
      <c r="H70" t="s">
        <v>206</v>
      </c>
      <c r="I70" s="7">
        <f ca="1">(TODAY()-staff[[#This Row],[Date Joined]])/365</f>
        <v>5.13972602739726</v>
      </c>
      <c r="J70" s="20">
        <f ca="1">ROUNDUP(IF(staff[[#This Row],[Tenure]]&gt;3,3%,2%)*staff[[#This Row],[Salary]],0)</f>
        <v>1978</v>
      </c>
      <c r="K70" s="29">
        <f>_xlfn.XLOOKUP(staff[[#This Row],[Rating]],Analysis!$B$2:$B$6,Analysis!$C$2:$C$6)</f>
        <v>3</v>
      </c>
    </row>
    <row r="71" spans="1:11" x14ac:dyDescent="0.35">
      <c r="A71" t="s">
        <v>32</v>
      </c>
      <c r="B71" t="s">
        <v>8</v>
      </c>
      <c r="C71">
        <v>21</v>
      </c>
      <c r="D71" t="s">
        <v>16</v>
      </c>
      <c r="E71" s="6">
        <v>44317</v>
      </c>
      <c r="F71" t="s">
        <v>21</v>
      </c>
      <c r="G71" s="20">
        <v>65920</v>
      </c>
      <c r="H71" t="s">
        <v>208</v>
      </c>
      <c r="I71" s="7">
        <f ca="1">(TODAY()-staff[[#This Row],[Date Joined]])/365</f>
        <v>4.9726027397260273</v>
      </c>
      <c r="J71" s="20">
        <f ca="1">ROUNDUP(IF(staff[[#This Row],[Tenure]]&gt;3,3%,2%)*staff[[#This Row],[Salary]],0)</f>
        <v>1978</v>
      </c>
      <c r="K71" s="29">
        <f>_xlfn.XLOOKUP(staff[[#This Row],[Rating]],Analysis!$B$2:$B$6,Analysis!$C$2:$C$6)</f>
        <v>3</v>
      </c>
    </row>
    <row r="72" spans="1:11" x14ac:dyDescent="0.35">
      <c r="A72" t="s">
        <v>121</v>
      </c>
      <c r="B72" t="s">
        <v>8</v>
      </c>
      <c r="C72">
        <v>30</v>
      </c>
      <c r="D72" t="s">
        <v>24</v>
      </c>
      <c r="E72" s="6">
        <v>44328</v>
      </c>
      <c r="F72" t="s">
        <v>21</v>
      </c>
      <c r="G72" s="20">
        <v>67910</v>
      </c>
      <c r="H72" t="s">
        <v>206</v>
      </c>
      <c r="I72" s="7">
        <f ca="1">(TODAY()-staff[[#This Row],[Date Joined]])/365</f>
        <v>4.9424657534246572</v>
      </c>
      <c r="J72" s="20">
        <f ca="1">ROUNDUP(IF(staff[[#This Row],[Tenure]]&gt;3,3%,2%)*staff[[#This Row],[Salary]],0)</f>
        <v>2038</v>
      </c>
      <c r="K72" s="29">
        <f>_xlfn.XLOOKUP(staff[[#This Row],[Rating]],Analysis!$B$2:$B$6,Analysis!$C$2:$C$6)</f>
        <v>2</v>
      </c>
    </row>
    <row r="73" spans="1:11" x14ac:dyDescent="0.35">
      <c r="A73" t="s">
        <v>27</v>
      </c>
      <c r="B73" t="s">
        <v>8</v>
      </c>
      <c r="C73">
        <v>30</v>
      </c>
      <c r="D73" t="s">
        <v>24</v>
      </c>
      <c r="E73" s="6">
        <v>44389</v>
      </c>
      <c r="F73" t="s">
        <v>21</v>
      </c>
      <c r="G73" s="20">
        <v>67910</v>
      </c>
      <c r="H73" t="s">
        <v>208</v>
      </c>
      <c r="I73" s="7">
        <f ca="1">(TODAY()-staff[[#This Row],[Date Joined]])/365</f>
        <v>4.7753424657534245</v>
      </c>
      <c r="J73" s="20">
        <f ca="1">ROUNDUP(IF(staff[[#This Row],[Tenure]]&gt;3,3%,2%)*staff[[#This Row],[Salary]],0)</f>
        <v>2038</v>
      </c>
      <c r="K73" s="29">
        <f>_xlfn.XLOOKUP(staff[[#This Row],[Rating]],Analysis!$B$2:$B$6,Analysis!$C$2:$C$6)</f>
        <v>2</v>
      </c>
    </row>
    <row r="74" spans="1:11" x14ac:dyDescent="0.35">
      <c r="A74" t="s">
        <v>138</v>
      </c>
      <c r="B74" t="s">
        <v>15</v>
      </c>
      <c r="C74">
        <v>30</v>
      </c>
      <c r="D74" t="s">
        <v>16</v>
      </c>
      <c r="E74" s="6">
        <v>44640</v>
      </c>
      <c r="F74" t="s">
        <v>9</v>
      </c>
      <c r="G74" s="20">
        <v>67950</v>
      </c>
      <c r="H74" t="s">
        <v>206</v>
      </c>
      <c r="I74" s="7">
        <f ca="1">(TODAY()-staff[[#This Row],[Date Joined]])/365</f>
        <v>4.087671232876712</v>
      </c>
      <c r="J74" s="20">
        <f ca="1">ROUNDUP(IF(staff[[#This Row],[Tenure]]&gt;3,3%,2%)*staff[[#This Row],[Salary]],0)</f>
        <v>2039</v>
      </c>
      <c r="K74" s="29">
        <f>_xlfn.XLOOKUP(staff[[#This Row],[Rating]],Analysis!$B$2:$B$6,Analysis!$C$2:$C$6)</f>
        <v>3</v>
      </c>
    </row>
    <row r="75" spans="1:11" x14ac:dyDescent="0.35">
      <c r="A75" t="s">
        <v>45</v>
      </c>
      <c r="B75" t="s">
        <v>15</v>
      </c>
      <c r="C75">
        <v>30</v>
      </c>
      <c r="D75" t="s">
        <v>16</v>
      </c>
      <c r="E75" s="6">
        <v>44701</v>
      </c>
      <c r="F75" t="s">
        <v>9</v>
      </c>
      <c r="G75" s="20">
        <v>67950</v>
      </c>
      <c r="H75" t="s">
        <v>208</v>
      </c>
      <c r="I75" s="7">
        <f ca="1">(TODAY()-staff[[#This Row],[Date Joined]])/365</f>
        <v>3.9205479452054797</v>
      </c>
      <c r="J75" s="20">
        <f ca="1">ROUNDUP(IF(staff[[#This Row],[Tenure]]&gt;3,3%,2%)*staff[[#This Row],[Salary]],0)</f>
        <v>2039</v>
      </c>
      <c r="K75" s="29">
        <f>_xlfn.XLOOKUP(staff[[#This Row],[Rating]],Analysis!$B$2:$B$6,Analysis!$C$2:$C$6)</f>
        <v>3</v>
      </c>
    </row>
    <row r="76" spans="1:11" x14ac:dyDescent="0.35">
      <c r="A76" t="s">
        <v>184</v>
      </c>
      <c r="B76" t="s">
        <v>8</v>
      </c>
      <c r="C76">
        <v>20</v>
      </c>
      <c r="D76" t="s">
        <v>24</v>
      </c>
      <c r="E76" s="6">
        <v>44476</v>
      </c>
      <c r="F76" t="s">
        <v>19</v>
      </c>
      <c r="G76" s="20">
        <v>68900</v>
      </c>
      <c r="H76" t="s">
        <v>206</v>
      </c>
      <c r="I76" s="7">
        <f ca="1">(TODAY()-staff[[#This Row],[Date Joined]])/365</f>
        <v>4.536986301369863</v>
      </c>
      <c r="J76" s="20">
        <f ca="1">ROUNDUP(IF(staff[[#This Row],[Tenure]]&gt;3,3%,2%)*staff[[#This Row],[Salary]],0)</f>
        <v>2067</v>
      </c>
      <c r="K76" s="29">
        <f>_xlfn.XLOOKUP(staff[[#This Row],[Rating]],Analysis!$B$2:$B$6,Analysis!$C$2:$C$6)</f>
        <v>2</v>
      </c>
    </row>
    <row r="77" spans="1:11" x14ac:dyDescent="0.35">
      <c r="A77" t="s">
        <v>91</v>
      </c>
      <c r="B77" t="s">
        <v>8</v>
      </c>
      <c r="C77">
        <v>20</v>
      </c>
      <c r="D77" t="s">
        <v>24</v>
      </c>
      <c r="E77" s="6">
        <v>44537</v>
      </c>
      <c r="F77" t="s">
        <v>19</v>
      </c>
      <c r="G77" s="20">
        <v>68900</v>
      </c>
      <c r="H77" t="s">
        <v>208</v>
      </c>
      <c r="I77" s="7">
        <f ca="1">(TODAY()-staff[[#This Row],[Date Joined]])/365</f>
        <v>4.3698630136986303</v>
      </c>
      <c r="J77" s="20">
        <f ca="1">ROUNDUP(IF(staff[[#This Row],[Tenure]]&gt;3,3%,2%)*staff[[#This Row],[Salary]],0)</f>
        <v>2067</v>
      </c>
      <c r="K77" s="29">
        <f>_xlfn.XLOOKUP(staff[[#This Row],[Rating]],Analysis!$B$2:$B$6,Analysis!$C$2:$C$6)</f>
        <v>2</v>
      </c>
    </row>
    <row r="78" spans="1:11" x14ac:dyDescent="0.35">
      <c r="A78" t="s">
        <v>190</v>
      </c>
      <c r="B78" t="s">
        <v>15</v>
      </c>
      <c r="C78">
        <v>37</v>
      </c>
      <c r="D78" t="s">
        <v>16</v>
      </c>
      <c r="E78" s="6">
        <v>44640</v>
      </c>
      <c r="F78" t="s">
        <v>12</v>
      </c>
      <c r="G78" s="20">
        <v>69070</v>
      </c>
      <c r="H78" t="s">
        <v>206</v>
      </c>
      <c r="I78" s="7">
        <f ca="1">(TODAY()-staff[[#This Row],[Date Joined]])/365</f>
        <v>4.087671232876712</v>
      </c>
      <c r="J78" s="20">
        <f ca="1">ROUNDUP(IF(staff[[#This Row],[Tenure]]&gt;3,3%,2%)*staff[[#This Row],[Salary]],0)</f>
        <v>2073</v>
      </c>
      <c r="K78" s="29">
        <f>_xlfn.XLOOKUP(staff[[#This Row],[Rating]],Analysis!$B$2:$B$6,Analysis!$C$2:$C$6)</f>
        <v>3</v>
      </c>
    </row>
    <row r="79" spans="1:11" x14ac:dyDescent="0.35">
      <c r="A79" t="s">
        <v>97</v>
      </c>
      <c r="B79" t="s">
        <v>15</v>
      </c>
      <c r="C79">
        <v>37</v>
      </c>
      <c r="D79" t="s">
        <v>16</v>
      </c>
      <c r="E79" s="6">
        <v>44701</v>
      </c>
      <c r="F79" t="s">
        <v>12</v>
      </c>
      <c r="G79" s="20">
        <v>69070</v>
      </c>
      <c r="H79" t="s">
        <v>208</v>
      </c>
      <c r="I79" s="7">
        <f ca="1">(TODAY()-staff[[#This Row],[Date Joined]])/365</f>
        <v>3.9205479452054797</v>
      </c>
      <c r="J79" s="20">
        <f ca="1">ROUNDUP(IF(staff[[#This Row],[Tenure]]&gt;3,3%,2%)*staff[[#This Row],[Salary]],0)</f>
        <v>2073</v>
      </c>
      <c r="K79" s="29">
        <f>_xlfn.XLOOKUP(staff[[#This Row],[Rating]],Analysis!$B$2:$B$6,Analysis!$C$2:$C$6)</f>
        <v>3</v>
      </c>
    </row>
    <row r="80" spans="1:11" x14ac:dyDescent="0.35">
      <c r="A80" t="s">
        <v>119</v>
      </c>
      <c r="B80" t="s">
        <v>15</v>
      </c>
      <c r="C80">
        <v>30</v>
      </c>
      <c r="D80" t="s">
        <v>16</v>
      </c>
      <c r="E80" s="6">
        <v>44214</v>
      </c>
      <c r="F80" t="s">
        <v>12</v>
      </c>
      <c r="G80" s="20">
        <v>69120</v>
      </c>
      <c r="H80" t="s">
        <v>206</v>
      </c>
      <c r="I80" s="7">
        <f ca="1">(TODAY()-staff[[#This Row],[Date Joined]])/365</f>
        <v>5.2547945205479456</v>
      </c>
      <c r="J80" s="20">
        <f ca="1">ROUNDUP(IF(staff[[#This Row],[Tenure]]&gt;3,3%,2%)*staff[[#This Row],[Salary]],0)</f>
        <v>2074</v>
      </c>
      <c r="K80" s="29">
        <f>_xlfn.XLOOKUP(staff[[#This Row],[Rating]],Analysis!$B$2:$B$6,Analysis!$C$2:$C$6)</f>
        <v>3</v>
      </c>
    </row>
    <row r="81" spans="1:11" x14ac:dyDescent="0.35">
      <c r="A81" t="s">
        <v>25</v>
      </c>
      <c r="B81" t="s">
        <v>15</v>
      </c>
      <c r="C81">
        <v>30</v>
      </c>
      <c r="D81" t="s">
        <v>16</v>
      </c>
      <c r="E81" s="6">
        <v>44273</v>
      </c>
      <c r="F81" t="s">
        <v>12</v>
      </c>
      <c r="G81" s="20">
        <v>69120</v>
      </c>
      <c r="H81" t="s">
        <v>208</v>
      </c>
      <c r="I81" s="7">
        <f ca="1">(TODAY()-staff[[#This Row],[Date Joined]])/365</f>
        <v>5.0931506849315067</v>
      </c>
      <c r="J81" s="20">
        <f ca="1">ROUNDUP(IF(staff[[#This Row],[Tenure]]&gt;3,3%,2%)*staff[[#This Row],[Salary]],0)</f>
        <v>2074</v>
      </c>
      <c r="K81" s="29">
        <f>_xlfn.XLOOKUP(staff[[#This Row],[Rating]],Analysis!$B$2:$B$6,Analysis!$C$2:$C$6)</f>
        <v>3</v>
      </c>
    </row>
    <row r="82" spans="1:11" x14ac:dyDescent="0.35">
      <c r="A82" t="s">
        <v>159</v>
      </c>
      <c r="B82" t="s">
        <v>15</v>
      </c>
      <c r="C82">
        <v>30</v>
      </c>
      <c r="D82" t="s">
        <v>16</v>
      </c>
      <c r="E82" s="6">
        <v>44789</v>
      </c>
      <c r="F82" t="s">
        <v>12</v>
      </c>
      <c r="G82" s="20">
        <v>69710</v>
      </c>
      <c r="H82" t="s">
        <v>206</v>
      </c>
      <c r="I82" s="7">
        <f ca="1">(TODAY()-staff[[#This Row],[Date Joined]])/365</f>
        <v>3.6794520547945204</v>
      </c>
      <c r="J82" s="20">
        <f ca="1">ROUNDUP(IF(staff[[#This Row],[Tenure]]&gt;3,3%,2%)*staff[[#This Row],[Salary]],0)</f>
        <v>2092</v>
      </c>
      <c r="K82" s="29">
        <f>_xlfn.XLOOKUP(staff[[#This Row],[Rating]],Analysis!$B$2:$B$6,Analysis!$C$2:$C$6)</f>
        <v>3</v>
      </c>
    </row>
    <row r="83" spans="1:11" x14ac:dyDescent="0.35">
      <c r="A83" t="s">
        <v>67</v>
      </c>
      <c r="B83" t="s">
        <v>15</v>
      </c>
      <c r="C83">
        <v>30</v>
      </c>
      <c r="D83" t="s">
        <v>16</v>
      </c>
      <c r="E83" s="6">
        <v>44850</v>
      </c>
      <c r="F83" t="s">
        <v>12</v>
      </c>
      <c r="G83" s="20">
        <v>69710</v>
      </c>
      <c r="H83" t="s">
        <v>208</v>
      </c>
      <c r="I83" s="7">
        <f ca="1">(TODAY()-staff[[#This Row],[Date Joined]])/365</f>
        <v>3.5123287671232877</v>
      </c>
      <c r="J83" s="20">
        <f ca="1">ROUNDUP(IF(staff[[#This Row],[Tenure]]&gt;3,3%,2%)*staff[[#This Row],[Salary]],0)</f>
        <v>2092</v>
      </c>
      <c r="K83" s="29">
        <f>_xlfn.XLOOKUP(staff[[#This Row],[Rating]],Analysis!$B$2:$B$6,Analysis!$C$2:$C$6)</f>
        <v>3</v>
      </c>
    </row>
    <row r="84" spans="1:11" x14ac:dyDescent="0.35">
      <c r="A84" t="s">
        <v>183</v>
      </c>
      <c r="B84" t="s">
        <v>15</v>
      </c>
      <c r="C84">
        <v>42</v>
      </c>
      <c r="D84" t="s">
        <v>24</v>
      </c>
      <c r="E84" s="6">
        <v>44670</v>
      </c>
      <c r="F84" t="s">
        <v>21</v>
      </c>
      <c r="G84" s="20">
        <v>70270</v>
      </c>
      <c r="H84" t="s">
        <v>206</v>
      </c>
      <c r="I84" s="7">
        <f ca="1">(TODAY()-staff[[#This Row],[Date Joined]])/365</f>
        <v>4.0054794520547947</v>
      </c>
      <c r="J84" s="20">
        <f ca="1">ROUNDUP(IF(staff[[#This Row],[Tenure]]&gt;3,3%,2%)*staff[[#This Row],[Salary]],0)</f>
        <v>2109</v>
      </c>
      <c r="K84" s="29">
        <f>_xlfn.XLOOKUP(staff[[#This Row],[Rating]],Analysis!$B$2:$B$6,Analysis!$C$2:$C$6)</f>
        <v>2</v>
      </c>
    </row>
    <row r="85" spans="1:11" x14ac:dyDescent="0.35">
      <c r="A85" t="s">
        <v>90</v>
      </c>
      <c r="B85" t="s">
        <v>15</v>
      </c>
      <c r="C85">
        <v>42</v>
      </c>
      <c r="D85" t="s">
        <v>24</v>
      </c>
      <c r="E85" s="6">
        <v>44731</v>
      </c>
      <c r="F85" t="s">
        <v>21</v>
      </c>
      <c r="G85" s="20">
        <v>70270</v>
      </c>
      <c r="H85" t="s">
        <v>208</v>
      </c>
      <c r="I85" s="7">
        <f ca="1">(TODAY()-staff[[#This Row],[Date Joined]])/365</f>
        <v>3.8383561643835615</v>
      </c>
      <c r="J85" s="20">
        <f ca="1">ROUNDUP(IF(staff[[#This Row],[Tenure]]&gt;3,3%,2%)*staff[[#This Row],[Salary]],0)</f>
        <v>2109</v>
      </c>
      <c r="K85" s="29">
        <f>_xlfn.XLOOKUP(staff[[#This Row],[Rating]],Analysis!$B$2:$B$6,Analysis!$C$2:$C$6)</f>
        <v>2</v>
      </c>
    </row>
    <row r="86" spans="1:11" x14ac:dyDescent="0.35">
      <c r="A86" t="s">
        <v>162</v>
      </c>
      <c r="B86" t="s">
        <v>15</v>
      </c>
      <c r="C86">
        <v>46</v>
      </c>
      <c r="D86" t="s">
        <v>16</v>
      </c>
      <c r="E86" s="6">
        <v>44697</v>
      </c>
      <c r="F86" t="s">
        <v>9</v>
      </c>
      <c r="G86" s="20">
        <v>70610</v>
      </c>
      <c r="H86" t="s">
        <v>206</v>
      </c>
      <c r="I86" s="7">
        <f ca="1">(TODAY()-staff[[#This Row],[Date Joined]])/365</f>
        <v>3.9315068493150687</v>
      </c>
      <c r="J86" s="20">
        <f ca="1">ROUNDUP(IF(staff[[#This Row],[Tenure]]&gt;3,3%,2%)*staff[[#This Row],[Salary]],0)</f>
        <v>2119</v>
      </c>
      <c r="K86" s="29">
        <f>_xlfn.XLOOKUP(staff[[#This Row],[Rating]],Analysis!$B$2:$B$6,Analysis!$C$2:$C$6)</f>
        <v>3</v>
      </c>
    </row>
    <row r="87" spans="1:11" x14ac:dyDescent="0.35">
      <c r="A87" t="s">
        <v>70</v>
      </c>
      <c r="B87" t="s">
        <v>15</v>
      </c>
      <c r="C87">
        <v>46</v>
      </c>
      <c r="D87" t="s">
        <v>16</v>
      </c>
      <c r="E87" s="6">
        <v>44758</v>
      </c>
      <c r="F87" t="s">
        <v>9</v>
      </c>
      <c r="G87" s="20">
        <v>70610</v>
      </c>
      <c r="H87" t="s">
        <v>208</v>
      </c>
      <c r="I87" s="7">
        <f ca="1">(TODAY()-staff[[#This Row],[Date Joined]])/365</f>
        <v>3.7643835616438355</v>
      </c>
      <c r="J87" s="20">
        <f ca="1">ROUNDUP(IF(staff[[#This Row],[Tenure]]&gt;3,3%,2%)*staff[[#This Row],[Salary]],0)</f>
        <v>2119</v>
      </c>
      <c r="K87" s="29">
        <f>_xlfn.XLOOKUP(staff[[#This Row],[Rating]],Analysis!$B$2:$B$6,Analysis!$C$2:$C$6)</f>
        <v>3</v>
      </c>
    </row>
    <row r="88" spans="1:11" x14ac:dyDescent="0.35">
      <c r="A88" t="s">
        <v>187</v>
      </c>
      <c r="B88" t="s">
        <v>15</v>
      </c>
      <c r="C88">
        <v>36</v>
      </c>
      <c r="D88" t="s">
        <v>16</v>
      </c>
      <c r="E88" s="6">
        <v>44272</v>
      </c>
      <c r="F88" t="s">
        <v>21</v>
      </c>
      <c r="G88" s="20">
        <v>71380</v>
      </c>
      <c r="H88" t="s">
        <v>206</v>
      </c>
      <c r="I88" s="7">
        <f ca="1">(TODAY()-staff[[#This Row],[Date Joined]])/365</f>
        <v>5.095890410958904</v>
      </c>
      <c r="J88" s="20">
        <f ca="1">ROUNDUP(IF(staff[[#This Row],[Tenure]]&gt;3,3%,2%)*staff[[#This Row],[Salary]],0)</f>
        <v>2142</v>
      </c>
      <c r="K88" s="29">
        <f>_xlfn.XLOOKUP(staff[[#This Row],[Rating]],Analysis!$B$2:$B$6,Analysis!$C$2:$C$6)</f>
        <v>3</v>
      </c>
    </row>
    <row r="89" spans="1:11" x14ac:dyDescent="0.35">
      <c r="A89" t="s">
        <v>94</v>
      </c>
      <c r="B89" t="s">
        <v>15</v>
      </c>
      <c r="C89">
        <v>36</v>
      </c>
      <c r="D89" t="s">
        <v>16</v>
      </c>
      <c r="E89" s="6">
        <v>44333</v>
      </c>
      <c r="F89" t="s">
        <v>21</v>
      </c>
      <c r="G89" s="20">
        <v>71380</v>
      </c>
      <c r="H89" t="s">
        <v>208</v>
      </c>
      <c r="I89" s="7">
        <f ca="1">(TODAY()-staff[[#This Row],[Date Joined]])/365</f>
        <v>4.9287671232876713</v>
      </c>
      <c r="J89" s="20">
        <f ca="1">ROUNDUP(IF(staff[[#This Row],[Tenure]]&gt;3,3%,2%)*staff[[#This Row],[Salary]],0)</f>
        <v>2142</v>
      </c>
      <c r="K89" s="29">
        <f>_xlfn.XLOOKUP(staff[[#This Row],[Rating]],Analysis!$B$2:$B$6,Analysis!$C$2:$C$6)</f>
        <v>3</v>
      </c>
    </row>
    <row r="90" spans="1:11" x14ac:dyDescent="0.35">
      <c r="A90" t="s">
        <v>115</v>
      </c>
      <c r="B90" t="s">
        <v>15</v>
      </c>
      <c r="C90">
        <v>33</v>
      </c>
      <c r="D90" t="s">
        <v>16</v>
      </c>
      <c r="E90" s="6">
        <v>44324</v>
      </c>
      <c r="F90" t="s">
        <v>19</v>
      </c>
      <c r="G90" s="20">
        <v>74550</v>
      </c>
      <c r="H90" t="s">
        <v>206</v>
      </c>
      <c r="I90" s="7">
        <f ca="1">(TODAY()-staff[[#This Row],[Date Joined]])/365</f>
        <v>4.9534246575342467</v>
      </c>
      <c r="J90" s="20">
        <f ca="1">ROUNDUP(IF(staff[[#This Row],[Tenure]]&gt;3,3%,2%)*staff[[#This Row],[Salary]],0)</f>
        <v>2237</v>
      </c>
      <c r="K90" s="29">
        <f>_xlfn.XLOOKUP(staff[[#This Row],[Rating]],Analysis!$B$2:$B$6,Analysis!$C$2:$C$6)</f>
        <v>3</v>
      </c>
    </row>
    <row r="91" spans="1:11" x14ac:dyDescent="0.35">
      <c r="A91" t="s">
        <v>18</v>
      </c>
      <c r="B91" t="s">
        <v>15</v>
      </c>
      <c r="C91">
        <v>33</v>
      </c>
      <c r="D91" t="s">
        <v>16</v>
      </c>
      <c r="E91" s="6">
        <v>44385</v>
      </c>
      <c r="F91" t="s">
        <v>19</v>
      </c>
      <c r="G91" s="20">
        <v>74550</v>
      </c>
      <c r="H91" t="s">
        <v>208</v>
      </c>
      <c r="I91" s="7">
        <f ca="1">(TODAY()-staff[[#This Row],[Date Joined]])/365</f>
        <v>4.7863013698630139</v>
      </c>
      <c r="J91" s="20">
        <f ca="1">ROUNDUP(IF(staff[[#This Row],[Tenure]]&gt;3,3%,2%)*staff[[#This Row],[Salary]],0)</f>
        <v>2237</v>
      </c>
      <c r="K91" s="29">
        <f>_xlfn.XLOOKUP(staff[[#This Row],[Rating]],Analysis!$B$2:$B$6,Analysis!$C$2:$C$6)</f>
        <v>3</v>
      </c>
    </row>
    <row r="92" spans="1:11" x14ac:dyDescent="0.35">
      <c r="A92" t="s">
        <v>111</v>
      </c>
      <c r="B92" t="s">
        <v>8</v>
      </c>
      <c r="C92">
        <v>42</v>
      </c>
      <c r="D92" t="s">
        <v>10</v>
      </c>
      <c r="E92" s="6">
        <v>44718</v>
      </c>
      <c r="F92" t="s">
        <v>9</v>
      </c>
      <c r="G92" s="20">
        <v>75000</v>
      </c>
      <c r="H92" t="s">
        <v>206</v>
      </c>
      <c r="I92" s="7">
        <f ca="1">(TODAY()-staff[[#This Row],[Date Joined]])/365</f>
        <v>3.8739726027397259</v>
      </c>
      <c r="J92" s="20">
        <f ca="1">ROUNDUP(IF(staff[[#This Row],[Tenure]]&gt;3,3%,2%)*staff[[#This Row],[Salary]],0)</f>
        <v>2250</v>
      </c>
      <c r="K92" s="29">
        <f>_xlfn.XLOOKUP(staff[[#This Row],[Rating]],Analysis!$B$2:$B$6,Analysis!$C$2:$C$6)</f>
        <v>5</v>
      </c>
    </row>
    <row r="93" spans="1:11" x14ac:dyDescent="0.35">
      <c r="A93" t="s">
        <v>7</v>
      </c>
      <c r="B93" t="s">
        <v>8</v>
      </c>
      <c r="C93">
        <v>42</v>
      </c>
      <c r="D93" t="s">
        <v>10</v>
      </c>
      <c r="E93" s="6">
        <v>44779</v>
      </c>
      <c r="F93" t="s">
        <v>9</v>
      </c>
      <c r="G93" s="20">
        <v>75000</v>
      </c>
      <c r="H93" t="s">
        <v>208</v>
      </c>
      <c r="I93" s="7">
        <f ca="1">(TODAY()-staff[[#This Row],[Date Joined]])/365</f>
        <v>3.7068493150684931</v>
      </c>
      <c r="J93" s="20">
        <f ca="1">ROUNDUP(IF(staff[[#This Row],[Tenure]]&gt;3,3%,2%)*staff[[#This Row],[Salary]],0)</f>
        <v>2250</v>
      </c>
      <c r="K93" s="29">
        <f>_xlfn.XLOOKUP(staff[[#This Row],[Rating]],Analysis!$B$2:$B$6,Analysis!$C$2:$C$6)</f>
        <v>5</v>
      </c>
    </row>
    <row r="94" spans="1:11" x14ac:dyDescent="0.35">
      <c r="A94" t="s">
        <v>188</v>
      </c>
      <c r="B94" t="s">
        <v>8</v>
      </c>
      <c r="C94">
        <v>33</v>
      </c>
      <c r="D94" t="s">
        <v>16</v>
      </c>
      <c r="E94" s="6">
        <v>44253</v>
      </c>
      <c r="F94" t="s">
        <v>12</v>
      </c>
      <c r="G94" s="20">
        <v>75280</v>
      </c>
      <c r="H94" t="s">
        <v>206</v>
      </c>
      <c r="I94" s="7">
        <f ca="1">(TODAY()-staff[[#This Row],[Date Joined]])/365</f>
        <v>5.1479452054794521</v>
      </c>
      <c r="J94" s="20">
        <f ca="1">ROUNDUP(IF(staff[[#This Row],[Tenure]]&gt;3,3%,2%)*staff[[#This Row],[Salary]],0)</f>
        <v>2259</v>
      </c>
      <c r="K94" s="29">
        <f>_xlfn.XLOOKUP(staff[[#This Row],[Rating]],Analysis!$B$2:$B$6,Analysis!$C$2:$C$6)</f>
        <v>3</v>
      </c>
    </row>
    <row r="95" spans="1:11" x14ac:dyDescent="0.35">
      <c r="A95" t="s">
        <v>95</v>
      </c>
      <c r="B95" t="s">
        <v>8</v>
      </c>
      <c r="C95">
        <v>33</v>
      </c>
      <c r="D95" t="s">
        <v>16</v>
      </c>
      <c r="E95" s="6">
        <v>44312</v>
      </c>
      <c r="F95" t="s">
        <v>12</v>
      </c>
      <c r="G95" s="20">
        <v>75280</v>
      </c>
      <c r="H95" t="s">
        <v>208</v>
      </c>
      <c r="I95" s="7">
        <f ca="1">(TODAY()-staff[[#This Row],[Date Joined]])/365</f>
        <v>4.9863013698630141</v>
      </c>
      <c r="J95" s="20">
        <f ca="1">ROUNDUP(IF(staff[[#This Row],[Tenure]]&gt;3,3%,2%)*staff[[#This Row],[Salary]],0)</f>
        <v>2259</v>
      </c>
      <c r="K95" s="29">
        <f>_xlfn.XLOOKUP(staff[[#This Row],[Rating]],Analysis!$B$2:$B$6,Analysis!$C$2:$C$6)</f>
        <v>3</v>
      </c>
    </row>
    <row r="96" spans="1:11" x14ac:dyDescent="0.35">
      <c r="A96" t="s">
        <v>135</v>
      </c>
      <c r="B96" t="s">
        <v>8</v>
      </c>
      <c r="C96">
        <v>33</v>
      </c>
      <c r="D96" t="s">
        <v>42</v>
      </c>
      <c r="E96" s="6">
        <v>44313</v>
      </c>
      <c r="F96" t="s">
        <v>12</v>
      </c>
      <c r="G96" s="20">
        <v>75480</v>
      </c>
      <c r="H96" t="s">
        <v>206</v>
      </c>
      <c r="I96" s="7">
        <f ca="1">(TODAY()-staff[[#This Row],[Date Joined]])/365</f>
        <v>4.9835616438356167</v>
      </c>
      <c r="J96" s="20">
        <f ca="1">ROUNDUP(IF(staff[[#This Row],[Tenure]]&gt;3,3%,2%)*staff[[#This Row],[Salary]],0)</f>
        <v>2265</v>
      </c>
      <c r="K96" s="29">
        <f>_xlfn.XLOOKUP(staff[[#This Row],[Rating]],Analysis!$B$2:$B$6,Analysis!$C$2:$C$6)</f>
        <v>1</v>
      </c>
    </row>
    <row r="97" spans="1:11" x14ac:dyDescent="0.35">
      <c r="A97" t="s">
        <v>41</v>
      </c>
      <c r="B97" t="s">
        <v>8</v>
      </c>
      <c r="C97">
        <v>33</v>
      </c>
      <c r="D97" t="s">
        <v>42</v>
      </c>
      <c r="E97" s="6">
        <v>44374</v>
      </c>
      <c r="F97" t="s">
        <v>12</v>
      </c>
      <c r="G97" s="20">
        <v>75480</v>
      </c>
      <c r="H97" t="s">
        <v>208</v>
      </c>
      <c r="I97" s="7">
        <f ca="1">(TODAY()-staff[[#This Row],[Date Joined]])/365</f>
        <v>4.816438356164384</v>
      </c>
      <c r="J97" s="20">
        <f ca="1">ROUNDUP(IF(staff[[#This Row],[Tenure]]&gt;3,3%,2%)*staff[[#This Row],[Salary]],0)</f>
        <v>2265</v>
      </c>
      <c r="K97" s="29">
        <f>_xlfn.XLOOKUP(staff[[#This Row],[Rating]],Analysis!$B$2:$B$6,Analysis!$C$2:$C$6)</f>
        <v>1</v>
      </c>
    </row>
    <row r="98" spans="1:11" x14ac:dyDescent="0.35">
      <c r="A98" t="s">
        <v>170</v>
      </c>
      <c r="B98" t="s">
        <v>15</v>
      </c>
      <c r="C98">
        <v>21</v>
      </c>
      <c r="D98" t="s">
        <v>16</v>
      </c>
      <c r="E98" s="6">
        <v>44180</v>
      </c>
      <c r="F98" t="s">
        <v>56</v>
      </c>
      <c r="G98" s="20">
        <v>75880</v>
      </c>
      <c r="H98" t="s">
        <v>206</v>
      </c>
      <c r="I98" s="7">
        <f ca="1">(TODAY()-staff[[#This Row],[Date Joined]])/365</f>
        <v>5.3479452054794523</v>
      </c>
      <c r="J98" s="20">
        <f ca="1">ROUNDUP(IF(staff[[#This Row],[Tenure]]&gt;3,3%,2%)*staff[[#This Row],[Salary]],0)</f>
        <v>2277</v>
      </c>
      <c r="K98" s="29">
        <f>_xlfn.XLOOKUP(staff[[#This Row],[Rating]],Analysis!$B$2:$B$6,Analysis!$C$2:$C$6)</f>
        <v>3</v>
      </c>
    </row>
    <row r="99" spans="1:11" x14ac:dyDescent="0.35">
      <c r="A99" t="s">
        <v>78</v>
      </c>
      <c r="B99" t="s">
        <v>15</v>
      </c>
      <c r="C99">
        <v>21</v>
      </c>
      <c r="D99" t="s">
        <v>16</v>
      </c>
      <c r="E99" s="6">
        <v>44242</v>
      </c>
      <c r="F99" t="s">
        <v>56</v>
      </c>
      <c r="G99" s="20">
        <v>75880</v>
      </c>
      <c r="H99" t="s">
        <v>208</v>
      </c>
      <c r="I99" s="7">
        <f ca="1">(TODAY()-staff[[#This Row],[Date Joined]])/365</f>
        <v>5.1780821917808222</v>
      </c>
      <c r="J99" s="20">
        <f ca="1">ROUNDUP(IF(staff[[#This Row],[Tenure]]&gt;3,3%,2%)*staff[[#This Row],[Salary]],0)</f>
        <v>2277</v>
      </c>
      <c r="K99" s="29">
        <f>_xlfn.XLOOKUP(staff[[#This Row],[Rating]],Analysis!$B$2:$B$6,Analysis!$C$2:$C$6)</f>
        <v>3</v>
      </c>
    </row>
    <row r="100" spans="1:11" x14ac:dyDescent="0.35">
      <c r="A100" t="s">
        <v>129</v>
      </c>
      <c r="B100" t="s">
        <v>8</v>
      </c>
      <c r="C100">
        <v>28</v>
      </c>
      <c r="D100" t="s">
        <v>16</v>
      </c>
      <c r="E100" s="6">
        <v>44124</v>
      </c>
      <c r="F100" t="s">
        <v>21</v>
      </c>
      <c r="G100" s="20">
        <v>75970</v>
      </c>
      <c r="H100" t="s">
        <v>206</v>
      </c>
      <c r="I100" s="7">
        <f ca="1">(TODAY()-staff[[#This Row],[Date Joined]])/365</f>
        <v>5.5013698630136982</v>
      </c>
      <c r="J100" s="20">
        <f ca="1">ROUNDUP(IF(staff[[#This Row],[Tenure]]&gt;3,3%,2%)*staff[[#This Row],[Salary]],0)</f>
        <v>2280</v>
      </c>
      <c r="K100" s="29">
        <f>_xlfn.XLOOKUP(staff[[#This Row],[Rating]],Analysis!$B$2:$B$6,Analysis!$C$2:$C$6)</f>
        <v>3</v>
      </c>
    </row>
    <row r="101" spans="1:11" x14ac:dyDescent="0.35">
      <c r="A101" t="s">
        <v>35</v>
      </c>
      <c r="B101" t="s">
        <v>8</v>
      </c>
      <c r="C101">
        <v>28</v>
      </c>
      <c r="D101" t="s">
        <v>16</v>
      </c>
      <c r="E101" s="6">
        <v>44185</v>
      </c>
      <c r="F101" t="s">
        <v>21</v>
      </c>
      <c r="G101" s="20">
        <v>75970</v>
      </c>
      <c r="H101" t="s">
        <v>208</v>
      </c>
      <c r="I101" s="7">
        <f ca="1">(TODAY()-staff[[#This Row],[Date Joined]])/365</f>
        <v>5.3342465753424655</v>
      </c>
      <c r="J101" s="20">
        <f ca="1">ROUNDUP(IF(staff[[#This Row],[Tenure]]&gt;3,3%,2%)*staff[[#This Row],[Salary]],0)</f>
        <v>2280</v>
      </c>
      <c r="K101" s="29">
        <f>_xlfn.XLOOKUP(staff[[#This Row],[Rating]],Analysis!$B$2:$B$6,Analysis!$C$2:$C$6)</f>
        <v>3</v>
      </c>
    </row>
    <row r="102" spans="1:11" x14ac:dyDescent="0.35">
      <c r="A102" t="s">
        <v>154</v>
      </c>
      <c r="B102" t="s">
        <v>8</v>
      </c>
      <c r="C102">
        <v>22</v>
      </c>
      <c r="D102" t="s">
        <v>13</v>
      </c>
      <c r="E102" s="6">
        <v>44388</v>
      </c>
      <c r="F102" t="s">
        <v>9</v>
      </c>
      <c r="G102" s="20">
        <v>76900</v>
      </c>
      <c r="H102" t="s">
        <v>206</v>
      </c>
      <c r="I102" s="7">
        <f ca="1">(TODAY()-staff[[#This Row],[Date Joined]])/365</f>
        <v>4.7780821917808218</v>
      </c>
      <c r="J102" s="20">
        <f ca="1">ROUNDUP(IF(staff[[#This Row],[Tenure]]&gt;3,3%,2%)*staff[[#This Row],[Salary]],0)</f>
        <v>2307</v>
      </c>
      <c r="K102" s="29">
        <f>_xlfn.XLOOKUP(staff[[#This Row],[Rating]],Analysis!$B$2:$B$6,Analysis!$C$2:$C$6)</f>
        <v>4</v>
      </c>
    </row>
    <row r="103" spans="1:11" x14ac:dyDescent="0.35">
      <c r="A103" t="s">
        <v>62</v>
      </c>
      <c r="B103" t="s">
        <v>8</v>
      </c>
      <c r="C103">
        <v>22</v>
      </c>
      <c r="D103" t="s">
        <v>13</v>
      </c>
      <c r="E103" s="6">
        <v>44450</v>
      </c>
      <c r="F103" t="s">
        <v>9</v>
      </c>
      <c r="G103" s="20">
        <v>76900</v>
      </c>
      <c r="H103" t="s">
        <v>208</v>
      </c>
      <c r="I103" s="7">
        <f ca="1">(TODAY()-staff[[#This Row],[Date Joined]])/365</f>
        <v>4.6082191780821917</v>
      </c>
      <c r="J103" s="20">
        <f ca="1">ROUNDUP(IF(staff[[#This Row],[Tenure]]&gt;3,3%,2%)*staff[[#This Row],[Salary]],0)</f>
        <v>2307</v>
      </c>
      <c r="K103" s="29">
        <f>_xlfn.XLOOKUP(staff[[#This Row],[Rating]],Analysis!$B$2:$B$6,Analysis!$C$2:$C$6)</f>
        <v>4</v>
      </c>
    </row>
    <row r="104" spans="1:11" x14ac:dyDescent="0.35">
      <c r="A104" t="s">
        <v>164</v>
      </c>
      <c r="B104" t="s">
        <v>8</v>
      </c>
      <c r="C104">
        <v>36</v>
      </c>
      <c r="D104" t="s">
        <v>16</v>
      </c>
      <c r="E104" s="6">
        <v>44468</v>
      </c>
      <c r="F104" t="s">
        <v>9</v>
      </c>
      <c r="G104" s="20">
        <v>78390</v>
      </c>
      <c r="H104" t="s">
        <v>206</v>
      </c>
      <c r="I104" s="7">
        <f ca="1">(TODAY()-staff[[#This Row],[Date Joined]])/365</f>
        <v>4.558904109589041</v>
      </c>
      <c r="J104" s="20">
        <f ca="1">ROUNDUP(IF(staff[[#This Row],[Tenure]]&gt;3,3%,2%)*staff[[#This Row],[Salary]],0)</f>
        <v>2352</v>
      </c>
      <c r="K104" s="29">
        <f>_xlfn.XLOOKUP(staff[[#This Row],[Rating]],Analysis!$B$2:$B$6,Analysis!$C$2:$C$6)</f>
        <v>3</v>
      </c>
    </row>
    <row r="105" spans="1:11" x14ac:dyDescent="0.35">
      <c r="A105" t="s">
        <v>72</v>
      </c>
      <c r="B105" t="s">
        <v>8</v>
      </c>
      <c r="C105">
        <v>36</v>
      </c>
      <c r="D105" t="s">
        <v>16</v>
      </c>
      <c r="E105" s="6">
        <v>44529</v>
      </c>
      <c r="F105" t="s">
        <v>9</v>
      </c>
      <c r="G105" s="20">
        <v>78390</v>
      </c>
      <c r="H105" t="s">
        <v>208</v>
      </c>
      <c r="I105" s="7">
        <f ca="1">(TODAY()-staff[[#This Row],[Date Joined]])/365</f>
        <v>4.3917808219178083</v>
      </c>
      <c r="J105" s="20">
        <f ca="1">ROUNDUP(IF(staff[[#This Row],[Tenure]]&gt;3,3%,2%)*staff[[#This Row],[Salary]],0)</f>
        <v>2352</v>
      </c>
      <c r="K105" s="29">
        <f>_xlfn.XLOOKUP(staff[[#This Row],[Rating]],Analysis!$B$2:$B$6,Analysis!$C$2:$C$6)</f>
        <v>3</v>
      </c>
    </row>
    <row r="106" spans="1:11" x14ac:dyDescent="0.35">
      <c r="A106" t="s">
        <v>141</v>
      </c>
      <c r="B106" t="s">
        <v>8</v>
      </c>
      <c r="C106">
        <v>36</v>
      </c>
      <c r="D106" t="s">
        <v>16</v>
      </c>
      <c r="E106" s="6">
        <v>44433</v>
      </c>
      <c r="F106" t="s">
        <v>19</v>
      </c>
      <c r="G106" s="20">
        <v>78540</v>
      </c>
      <c r="H106" t="s">
        <v>206</v>
      </c>
      <c r="I106" s="7">
        <f ca="1">(TODAY()-staff[[#This Row],[Date Joined]])/365</f>
        <v>4.6547945205479451</v>
      </c>
      <c r="J106" s="20">
        <f ca="1">ROUNDUP(IF(staff[[#This Row],[Tenure]]&gt;3,3%,2%)*staff[[#This Row],[Salary]],0)</f>
        <v>2357</v>
      </c>
      <c r="K106" s="29">
        <f>_xlfn.XLOOKUP(staff[[#This Row],[Rating]],Analysis!$B$2:$B$6,Analysis!$C$2:$C$6)</f>
        <v>3</v>
      </c>
    </row>
    <row r="107" spans="1:11" x14ac:dyDescent="0.35">
      <c r="A107" t="s">
        <v>48</v>
      </c>
      <c r="B107" t="s">
        <v>8</v>
      </c>
      <c r="C107">
        <v>36</v>
      </c>
      <c r="D107" t="s">
        <v>16</v>
      </c>
      <c r="E107" s="6">
        <v>44494</v>
      </c>
      <c r="F107" t="s">
        <v>19</v>
      </c>
      <c r="G107" s="20">
        <v>78540</v>
      </c>
      <c r="H107" t="s">
        <v>208</v>
      </c>
      <c r="I107" s="7">
        <f ca="1">(TODAY()-staff[[#This Row],[Date Joined]])/365</f>
        <v>4.4876712328767123</v>
      </c>
      <c r="J107" s="20">
        <f ca="1">ROUNDUP(IF(staff[[#This Row],[Tenure]]&gt;3,3%,2%)*staff[[#This Row],[Salary]],0)</f>
        <v>2357</v>
      </c>
      <c r="K107" s="29">
        <f>_xlfn.XLOOKUP(staff[[#This Row],[Rating]],Analysis!$B$2:$B$6,Analysis!$C$2:$C$6)</f>
        <v>3</v>
      </c>
    </row>
    <row r="108" spans="1:11" x14ac:dyDescent="0.35">
      <c r="A108" t="s">
        <v>197</v>
      </c>
      <c r="B108" t="s">
        <v>15</v>
      </c>
      <c r="C108">
        <v>20</v>
      </c>
      <c r="D108" t="s">
        <v>16</v>
      </c>
      <c r="E108" s="6">
        <v>44683</v>
      </c>
      <c r="F108" t="s">
        <v>9</v>
      </c>
      <c r="G108" s="20">
        <v>79570</v>
      </c>
      <c r="H108" t="s">
        <v>206</v>
      </c>
      <c r="I108" s="7">
        <f ca="1">(TODAY()-staff[[#This Row],[Date Joined]])/365</f>
        <v>3.9698630136986299</v>
      </c>
      <c r="J108" s="20">
        <f ca="1">ROUNDUP(IF(staff[[#This Row],[Tenure]]&gt;3,3%,2%)*staff[[#This Row],[Salary]],0)</f>
        <v>2388</v>
      </c>
      <c r="K108" s="29">
        <f>_xlfn.XLOOKUP(staff[[#This Row],[Rating]],Analysis!$B$2:$B$6,Analysis!$C$2:$C$6)</f>
        <v>3</v>
      </c>
    </row>
    <row r="109" spans="1:11" x14ac:dyDescent="0.35">
      <c r="A109" t="s">
        <v>104</v>
      </c>
      <c r="B109" t="s">
        <v>15</v>
      </c>
      <c r="C109">
        <v>20</v>
      </c>
      <c r="D109" t="s">
        <v>16</v>
      </c>
      <c r="E109" s="6">
        <v>44744</v>
      </c>
      <c r="F109" t="s">
        <v>9</v>
      </c>
      <c r="G109" s="20">
        <v>79570</v>
      </c>
      <c r="H109" t="s">
        <v>208</v>
      </c>
      <c r="I109" s="7">
        <f ca="1">(TODAY()-staff[[#This Row],[Date Joined]])/365</f>
        <v>3.8027397260273972</v>
      </c>
      <c r="J109" s="20">
        <f ca="1">ROUNDUP(IF(staff[[#This Row],[Tenure]]&gt;3,3%,2%)*staff[[#This Row],[Salary]],0)</f>
        <v>2388</v>
      </c>
      <c r="K109" s="29">
        <f>_xlfn.XLOOKUP(staff[[#This Row],[Rating]],Analysis!$B$2:$B$6,Analysis!$C$2:$C$6)</f>
        <v>3</v>
      </c>
    </row>
    <row r="110" spans="1:11" x14ac:dyDescent="0.35">
      <c r="A110" t="s">
        <v>133</v>
      </c>
      <c r="B110" t="s">
        <v>8</v>
      </c>
      <c r="C110">
        <v>25</v>
      </c>
      <c r="D110" t="s">
        <v>13</v>
      </c>
      <c r="E110" s="6">
        <v>44633</v>
      </c>
      <c r="F110" t="s">
        <v>12</v>
      </c>
      <c r="G110" s="20">
        <v>80700</v>
      </c>
      <c r="H110" t="s">
        <v>206</v>
      </c>
      <c r="I110" s="7">
        <f ca="1">(TODAY()-staff[[#This Row],[Date Joined]])/365</f>
        <v>4.1068493150684935</v>
      </c>
      <c r="J110" s="20">
        <f ca="1">ROUNDUP(IF(staff[[#This Row],[Tenure]]&gt;3,3%,2%)*staff[[#This Row],[Salary]],0)</f>
        <v>2421</v>
      </c>
      <c r="K110" s="29">
        <f>_xlfn.XLOOKUP(staff[[#This Row],[Rating]],Analysis!$B$2:$B$6,Analysis!$C$2:$C$6)</f>
        <v>4</v>
      </c>
    </row>
    <row r="111" spans="1:11" x14ac:dyDescent="0.35">
      <c r="A111" t="s">
        <v>39</v>
      </c>
      <c r="B111" t="s">
        <v>8</v>
      </c>
      <c r="C111">
        <v>25</v>
      </c>
      <c r="D111" t="s">
        <v>13</v>
      </c>
      <c r="E111" s="6">
        <v>44694</v>
      </c>
      <c r="F111" t="s">
        <v>12</v>
      </c>
      <c r="G111" s="20">
        <v>80700</v>
      </c>
      <c r="H111" t="s">
        <v>208</v>
      </c>
      <c r="I111" s="7">
        <f ca="1">(TODAY()-staff[[#This Row],[Date Joined]])/365</f>
        <v>3.9397260273972603</v>
      </c>
      <c r="J111" s="20">
        <f ca="1">ROUNDUP(IF(staff[[#This Row],[Tenure]]&gt;3,3%,2%)*staff[[#This Row],[Salary]],0)</f>
        <v>2421</v>
      </c>
      <c r="K111" s="29">
        <f>_xlfn.XLOOKUP(staff[[#This Row],[Rating]],Analysis!$B$2:$B$6,Analysis!$C$2:$C$6)</f>
        <v>4</v>
      </c>
    </row>
    <row r="112" spans="1:11" x14ac:dyDescent="0.35">
      <c r="A112" t="s">
        <v>185</v>
      </c>
      <c r="B112" t="s">
        <v>8</v>
      </c>
      <c r="C112">
        <v>27</v>
      </c>
      <c r="D112" t="s">
        <v>16</v>
      </c>
      <c r="E112" s="6">
        <v>44625</v>
      </c>
      <c r="F112" t="s">
        <v>12</v>
      </c>
      <c r="G112" s="20">
        <v>83750</v>
      </c>
      <c r="H112" t="s">
        <v>206</v>
      </c>
      <c r="I112" s="7">
        <f ca="1">(TODAY()-staff[[#This Row],[Date Joined]])/365</f>
        <v>4.1287671232876715</v>
      </c>
      <c r="J112" s="20">
        <f ca="1">ROUNDUP(IF(staff[[#This Row],[Tenure]]&gt;3,3%,2%)*staff[[#This Row],[Salary]],0)</f>
        <v>2513</v>
      </c>
      <c r="K112" s="29">
        <f>_xlfn.XLOOKUP(staff[[#This Row],[Rating]],Analysis!$B$2:$B$6,Analysis!$C$2:$C$6)</f>
        <v>3</v>
      </c>
    </row>
    <row r="113" spans="1:11" x14ac:dyDescent="0.35">
      <c r="A113" t="s">
        <v>92</v>
      </c>
      <c r="B113" t="s">
        <v>8</v>
      </c>
      <c r="C113">
        <v>27</v>
      </c>
      <c r="D113" t="s">
        <v>16</v>
      </c>
      <c r="E113" s="6">
        <v>44686</v>
      </c>
      <c r="F113" t="s">
        <v>12</v>
      </c>
      <c r="G113" s="20">
        <v>83750</v>
      </c>
      <c r="H113" t="s">
        <v>208</v>
      </c>
      <c r="I113" s="7">
        <f ca="1">(TODAY()-staff[[#This Row],[Date Joined]])/365</f>
        <v>3.9616438356164383</v>
      </c>
      <c r="J113" s="20">
        <f ca="1">ROUNDUP(IF(staff[[#This Row],[Tenure]]&gt;3,3%,2%)*staff[[#This Row],[Salary]],0)</f>
        <v>2513</v>
      </c>
      <c r="K113" s="29">
        <f>_xlfn.XLOOKUP(staff[[#This Row],[Rating]],Analysis!$B$2:$B$6,Analysis!$C$2:$C$6)</f>
        <v>3</v>
      </c>
    </row>
    <row r="114" spans="1:11" x14ac:dyDescent="0.35">
      <c r="A114" t="s">
        <v>122</v>
      </c>
      <c r="B114" t="s">
        <v>8</v>
      </c>
      <c r="C114">
        <v>34</v>
      </c>
      <c r="D114" t="s">
        <v>16</v>
      </c>
      <c r="E114" s="6">
        <v>44397</v>
      </c>
      <c r="F114" t="s">
        <v>21</v>
      </c>
      <c r="G114" s="20">
        <v>85000</v>
      </c>
      <c r="H114" t="s">
        <v>206</v>
      </c>
      <c r="I114" s="7">
        <f ca="1">(TODAY()-staff[[#This Row],[Date Joined]])/365</f>
        <v>4.7534246575342465</v>
      </c>
      <c r="J114" s="20">
        <f ca="1">ROUNDUP(IF(staff[[#This Row],[Tenure]]&gt;3,3%,2%)*staff[[#This Row],[Salary]],0)</f>
        <v>2550</v>
      </c>
      <c r="K114" s="29">
        <f>_xlfn.XLOOKUP(staff[[#This Row],[Rating]],Analysis!$B$2:$B$6,Analysis!$C$2:$C$6)</f>
        <v>3</v>
      </c>
    </row>
    <row r="115" spans="1:11" x14ac:dyDescent="0.35">
      <c r="A115" t="s">
        <v>28</v>
      </c>
      <c r="B115" t="s">
        <v>8</v>
      </c>
      <c r="C115">
        <v>34</v>
      </c>
      <c r="D115" t="s">
        <v>16</v>
      </c>
      <c r="E115" s="6">
        <v>44459</v>
      </c>
      <c r="F115" t="s">
        <v>21</v>
      </c>
      <c r="G115" s="20">
        <v>85000</v>
      </c>
      <c r="H115" t="s">
        <v>208</v>
      </c>
      <c r="I115" s="7">
        <f ca="1">(TODAY()-staff[[#This Row],[Date Joined]])/365</f>
        <v>4.5835616438356164</v>
      </c>
      <c r="J115" s="20">
        <f ca="1">ROUNDUP(IF(staff[[#This Row],[Tenure]]&gt;3,3%,2%)*staff[[#This Row],[Salary]],0)</f>
        <v>2550</v>
      </c>
      <c r="K115" s="29">
        <f>_xlfn.XLOOKUP(staff[[#This Row],[Rating]],Analysis!$B$2:$B$6,Analysis!$C$2:$C$6)</f>
        <v>3</v>
      </c>
    </row>
    <row r="116" spans="1:11" x14ac:dyDescent="0.35">
      <c r="A116" t="s">
        <v>181</v>
      </c>
      <c r="B116" t="s">
        <v>8</v>
      </c>
      <c r="C116">
        <v>33</v>
      </c>
      <c r="D116" t="s">
        <v>16</v>
      </c>
      <c r="E116" s="6">
        <v>44747</v>
      </c>
      <c r="F116" t="s">
        <v>21</v>
      </c>
      <c r="G116" s="20">
        <v>86570</v>
      </c>
      <c r="H116" t="s">
        <v>206</v>
      </c>
      <c r="I116" s="7">
        <f ca="1">(TODAY()-staff[[#This Row],[Date Joined]])/365</f>
        <v>3.7945205479452055</v>
      </c>
      <c r="J116" s="20">
        <f ca="1">ROUNDUP(IF(staff[[#This Row],[Tenure]]&gt;3,3%,2%)*staff[[#This Row],[Salary]],0)</f>
        <v>2598</v>
      </c>
      <c r="K116" s="29">
        <f>_xlfn.XLOOKUP(staff[[#This Row],[Rating]],Analysis!$B$2:$B$6,Analysis!$C$2:$C$6)</f>
        <v>3</v>
      </c>
    </row>
    <row r="117" spans="1:11" x14ac:dyDescent="0.35">
      <c r="A117" t="s">
        <v>88</v>
      </c>
      <c r="B117" t="s">
        <v>8</v>
      </c>
      <c r="C117">
        <v>33</v>
      </c>
      <c r="D117" t="s">
        <v>16</v>
      </c>
      <c r="E117" s="6">
        <v>44809</v>
      </c>
      <c r="F117" t="s">
        <v>21</v>
      </c>
      <c r="G117" s="20">
        <v>86570</v>
      </c>
      <c r="H117" t="s">
        <v>208</v>
      </c>
      <c r="I117" s="7">
        <f ca="1">(TODAY()-staff[[#This Row],[Date Joined]])/365</f>
        <v>3.6246575342465754</v>
      </c>
      <c r="J117" s="20">
        <f ca="1">ROUNDUP(IF(staff[[#This Row],[Tenure]]&gt;3,3%,2%)*staff[[#This Row],[Salary]],0)</f>
        <v>2598</v>
      </c>
      <c r="K117" s="29">
        <f>_xlfn.XLOOKUP(staff[[#This Row],[Rating]],Analysis!$B$2:$B$6,Analysis!$C$2:$C$6)</f>
        <v>3</v>
      </c>
    </row>
    <row r="118" spans="1:11" x14ac:dyDescent="0.35">
      <c r="A118" t="s">
        <v>166</v>
      </c>
      <c r="B118" t="s">
        <v>8</v>
      </c>
      <c r="C118">
        <v>40</v>
      </c>
      <c r="D118" t="s">
        <v>16</v>
      </c>
      <c r="E118" s="6">
        <v>44276</v>
      </c>
      <c r="F118" t="s">
        <v>12</v>
      </c>
      <c r="G118" s="20">
        <v>87620</v>
      </c>
      <c r="H118" t="s">
        <v>206</v>
      </c>
      <c r="I118" s="7">
        <f ca="1">(TODAY()-staff[[#This Row],[Date Joined]])/365</f>
        <v>5.0849315068493155</v>
      </c>
      <c r="J118" s="20">
        <f ca="1">ROUNDUP(IF(staff[[#This Row],[Tenure]]&gt;3,3%,2%)*staff[[#This Row],[Salary]],0)</f>
        <v>2629</v>
      </c>
      <c r="K118" s="29">
        <f>_xlfn.XLOOKUP(staff[[#This Row],[Rating]],Analysis!$B$2:$B$6,Analysis!$C$2:$C$6)</f>
        <v>3</v>
      </c>
    </row>
    <row r="119" spans="1:11" x14ac:dyDescent="0.35">
      <c r="A119" t="s">
        <v>74</v>
      </c>
      <c r="B119" t="s">
        <v>8</v>
      </c>
      <c r="C119">
        <v>40</v>
      </c>
      <c r="D119" t="s">
        <v>16</v>
      </c>
      <c r="E119" s="6">
        <v>44337</v>
      </c>
      <c r="F119" t="s">
        <v>12</v>
      </c>
      <c r="G119" s="20">
        <v>87620</v>
      </c>
      <c r="H119" t="s">
        <v>208</v>
      </c>
      <c r="I119" s="7">
        <f ca="1">(TODAY()-staff[[#This Row],[Date Joined]])/365</f>
        <v>4.9178082191780819</v>
      </c>
      <c r="J119" s="20">
        <f ca="1">ROUNDUP(IF(staff[[#This Row],[Tenure]]&gt;3,3%,2%)*staff[[#This Row],[Salary]],0)</f>
        <v>2629</v>
      </c>
      <c r="K119" s="29">
        <f>_xlfn.XLOOKUP(staff[[#This Row],[Rating]],Analysis!$B$2:$B$6,Analysis!$C$2:$C$6)</f>
        <v>3</v>
      </c>
    </row>
    <row r="120" spans="1:11" x14ac:dyDescent="0.35">
      <c r="A120" t="s">
        <v>118</v>
      </c>
      <c r="B120" t="s">
        <v>15</v>
      </c>
      <c r="C120">
        <v>37</v>
      </c>
      <c r="D120" t="s">
        <v>24</v>
      </c>
      <c r="E120" s="6">
        <v>44277</v>
      </c>
      <c r="F120" t="s">
        <v>12</v>
      </c>
      <c r="G120" s="20">
        <v>88050</v>
      </c>
      <c r="H120" t="s">
        <v>206</v>
      </c>
      <c r="I120" s="7">
        <f ca="1">(TODAY()-staff[[#This Row],[Date Joined]])/365</f>
        <v>5.0821917808219181</v>
      </c>
      <c r="J120" s="20">
        <f ca="1">ROUNDUP(IF(staff[[#This Row],[Tenure]]&gt;3,3%,2%)*staff[[#This Row],[Salary]],0)</f>
        <v>2642</v>
      </c>
      <c r="K120" s="29">
        <f>_xlfn.XLOOKUP(staff[[#This Row],[Rating]],Analysis!$B$2:$B$6,Analysis!$C$2:$C$6)</f>
        <v>2</v>
      </c>
    </row>
    <row r="121" spans="1:11" x14ac:dyDescent="0.35">
      <c r="A121" t="s">
        <v>23</v>
      </c>
      <c r="B121" t="s">
        <v>15</v>
      </c>
      <c r="C121">
        <v>37</v>
      </c>
      <c r="D121" t="s">
        <v>24</v>
      </c>
      <c r="E121" s="6">
        <v>44338</v>
      </c>
      <c r="F121" t="s">
        <v>12</v>
      </c>
      <c r="G121" s="20">
        <v>88050</v>
      </c>
      <c r="H121" t="s">
        <v>208</v>
      </c>
      <c r="I121" s="7">
        <f ca="1">(TODAY()-staff[[#This Row],[Date Joined]])/365</f>
        <v>4.9150684931506845</v>
      </c>
      <c r="J121" s="20">
        <f ca="1">ROUNDUP(IF(staff[[#This Row],[Tenure]]&gt;3,3%,2%)*staff[[#This Row],[Salary]],0)</f>
        <v>2642</v>
      </c>
      <c r="K121" s="29">
        <f>_xlfn.XLOOKUP(staff[[#This Row],[Rating]],Analysis!$B$2:$B$6,Analysis!$C$2:$C$6)</f>
        <v>2</v>
      </c>
    </row>
    <row r="122" spans="1:11" x14ac:dyDescent="0.35">
      <c r="A122" t="s">
        <v>112</v>
      </c>
      <c r="B122" t="s">
        <v>207</v>
      </c>
      <c r="C122">
        <v>27</v>
      </c>
      <c r="D122" t="s">
        <v>13</v>
      </c>
      <c r="E122" s="6">
        <v>44212</v>
      </c>
      <c r="F122" t="s">
        <v>12</v>
      </c>
      <c r="G122" s="20">
        <v>90700</v>
      </c>
      <c r="H122" t="s">
        <v>206</v>
      </c>
      <c r="I122" s="7">
        <f ca="1">(TODAY()-staff[[#This Row],[Date Joined]])/365</f>
        <v>5.2602739726027394</v>
      </c>
      <c r="J122" s="20">
        <f ca="1">ROUNDUP(IF(staff[[#This Row],[Tenure]]&gt;3,3%,2%)*staff[[#This Row],[Salary]],0)</f>
        <v>2721</v>
      </c>
      <c r="K122" s="29">
        <f>_xlfn.XLOOKUP(staff[[#This Row],[Rating]],Analysis!$B$2:$B$6,Analysis!$C$2:$C$6)</f>
        <v>4</v>
      </c>
    </row>
    <row r="123" spans="1:11" x14ac:dyDescent="0.35">
      <c r="A123" t="s">
        <v>11</v>
      </c>
      <c r="B123" t="s">
        <v>207</v>
      </c>
      <c r="C123">
        <v>26</v>
      </c>
      <c r="D123" t="s">
        <v>13</v>
      </c>
      <c r="E123" s="6">
        <v>44271</v>
      </c>
      <c r="F123" t="s">
        <v>12</v>
      </c>
      <c r="G123" s="20">
        <v>90700</v>
      </c>
      <c r="H123" t="s">
        <v>208</v>
      </c>
      <c r="I123" s="7">
        <f ca="1">(TODAY()-staff[[#This Row],[Date Joined]])/365</f>
        <v>5.0986301369863014</v>
      </c>
      <c r="J123" s="20">
        <f ca="1">ROUNDUP(IF(staff[[#This Row],[Tenure]]&gt;3,3%,2%)*staff[[#This Row],[Salary]],0)</f>
        <v>2721</v>
      </c>
      <c r="K123" s="29">
        <f>_xlfn.XLOOKUP(staff[[#This Row],[Rating]],Analysis!$B$2:$B$6,Analysis!$C$2:$C$6)</f>
        <v>4</v>
      </c>
    </row>
    <row r="124" spans="1:11" x14ac:dyDescent="0.35">
      <c r="A124" t="s">
        <v>145</v>
      </c>
      <c r="B124" t="s">
        <v>207</v>
      </c>
      <c r="C124">
        <v>32</v>
      </c>
      <c r="D124" t="s">
        <v>16</v>
      </c>
      <c r="E124" s="6">
        <v>44713</v>
      </c>
      <c r="F124" t="s">
        <v>12</v>
      </c>
      <c r="G124" s="20">
        <v>91310</v>
      </c>
      <c r="H124" t="s">
        <v>206</v>
      </c>
      <c r="I124" s="7">
        <f ca="1">(TODAY()-staff[[#This Row],[Date Joined]])/365</f>
        <v>3.8876712328767122</v>
      </c>
      <c r="J124" s="20">
        <f ca="1">ROUNDUP(IF(staff[[#This Row],[Tenure]]&gt;3,3%,2%)*staff[[#This Row],[Salary]],0)</f>
        <v>2740</v>
      </c>
      <c r="K124" s="29">
        <f>_xlfn.XLOOKUP(staff[[#This Row],[Rating]],Analysis!$B$2:$B$6,Analysis!$C$2:$C$6)</f>
        <v>3</v>
      </c>
    </row>
    <row r="125" spans="1:11" x14ac:dyDescent="0.35">
      <c r="A125" t="s">
        <v>52</v>
      </c>
      <c r="B125" t="s">
        <v>207</v>
      </c>
      <c r="C125">
        <v>32</v>
      </c>
      <c r="D125" t="s">
        <v>16</v>
      </c>
      <c r="E125" s="6">
        <v>44774</v>
      </c>
      <c r="F125" t="s">
        <v>12</v>
      </c>
      <c r="G125" s="20">
        <v>91310</v>
      </c>
      <c r="H125" t="s">
        <v>208</v>
      </c>
      <c r="I125" s="7">
        <f ca="1">(TODAY()-staff[[#This Row],[Date Joined]])/365</f>
        <v>3.7205479452054795</v>
      </c>
      <c r="J125" s="20">
        <f ca="1">ROUNDUP(IF(staff[[#This Row],[Tenure]]&gt;3,3%,2%)*staff[[#This Row],[Salary]],0)</f>
        <v>2740</v>
      </c>
      <c r="K125" s="29">
        <f>_xlfn.XLOOKUP(staff[[#This Row],[Rating]],Analysis!$B$2:$B$6,Analysis!$C$2:$C$6)</f>
        <v>3</v>
      </c>
    </row>
    <row r="126" spans="1:11" x14ac:dyDescent="0.35">
      <c r="A126" t="s">
        <v>160</v>
      </c>
      <c r="B126" t="s">
        <v>15</v>
      </c>
      <c r="C126">
        <v>27</v>
      </c>
      <c r="D126" t="s">
        <v>13</v>
      </c>
      <c r="E126" s="6">
        <v>44174</v>
      </c>
      <c r="F126" t="s">
        <v>21</v>
      </c>
      <c r="G126" s="20">
        <v>91650</v>
      </c>
      <c r="H126" t="s">
        <v>206</v>
      </c>
      <c r="I126" s="7">
        <f ca="1">(TODAY()-staff[[#This Row],[Date Joined]])/365</f>
        <v>5.3643835616438356</v>
      </c>
      <c r="J126" s="20">
        <f ca="1">ROUNDUP(IF(staff[[#This Row],[Tenure]]&gt;3,3%,2%)*staff[[#This Row],[Salary]],0)</f>
        <v>2750</v>
      </c>
      <c r="K126" s="29">
        <f>_xlfn.XLOOKUP(staff[[#This Row],[Rating]],Analysis!$B$2:$B$6,Analysis!$C$2:$C$6)</f>
        <v>4</v>
      </c>
    </row>
    <row r="127" spans="1:11" x14ac:dyDescent="0.35">
      <c r="A127" t="s">
        <v>68</v>
      </c>
      <c r="B127" t="s">
        <v>15</v>
      </c>
      <c r="C127">
        <v>27</v>
      </c>
      <c r="D127" t="s">
        <v>13</v>
      </c>
      <c r="E127" s="6">
        <v>44236</v>
      </c>
      <c r="F127" t="s">
        <v>21</v>
      </c>
      <c r="G127" s="20">
        <v>91650</v>
      </c>
      <c r="H127" t="s">
        <v>208</v>
      </c>
      <c r="I127" s="7">
        <f ca="1">(TODAY()-staff[[#This Row],[Date Joined]])/365</f>
        <v>5.1945205479452055</v>
      </c>
      <c r="J127" s="20">
        <f ca="1">ROUNDUP(IF(staff[[#This Row],[Tenure]]&gt;3,3%,2%)*staff[[#This Row],[Salary]],0)</f>
        <v>2750</v>
      </c>
      <c r="K127" s="29">
        <f>_xlfn.XLOOKUP(staff[[#This Row],[Rating]],Analysis!$B$2:$B$6,Analysis!$C$2:$C$6)</f>
        <v>4</v>
      </c>
    </row>
    <row r="128" spans="1:11" x14ac:dyDescent="0.35">
      <c r="A128" t="s">
        <v>195</v>
      </c>
      <c r="B128" t="s">
        <v>8</v>
      </c>
      <c r="C128">
        <v>34</v>
      </c>
      <c r="D128" t="s">
        <v>16</v>
      </c>
      <c r="E128" s="6">
        <v>44383</v>
      </c>
      <c r="F128" t="s">
        <v>21</v>
      </c>
      <c r="G128" s="20">
        <v>92450</v>
      </c>
      <c r="H128" t="s">
        <v>206</v>
      </c>
      <c r="I128" s="7">
        <f ca="1">(TODAY()-staff[[#This Row],[Date Joined]])/365</f>
        <v>4.7917808219178086</v>
      </c>
      <c r="J128" s="20">
        <f ca="1">ROUNDUP(IF(staff[[#This Row],[Tenure]]&gt;3,3%,2%)*staff[[#This Row],[Salary]],0)</f>
        <v>2774</v>
      </c>
      <c r="K128" s="29">
        <f>_xlfn.XLOOKUP(staff[[#This Row],[Rating]],Analysis!$B$2:$B$6,Analysis!$C$2:$C$6)</f>
        <v>3</v>
      </c>
    </row>
    <row r="129" spans="1:11" x14ac:dyDescent="0.35">
      <c r="A129" t="s">
        <v>102</v>
      </c>
      <c r="B129" t="s">
        <v>8</v>
      </c>
      <c r="C129">
        <v>34</v>
      </c>
      <c r="D129" t="s">
        <v>16</v>
      </c>
      <c r="E129" s="6">
        <v>44445</v>
      </c>
      <c r="F129" t="s">
        <v>21</v>
      </c>
      <c r="G129" s="20">
        <v>92450</v>
      </c>
      <c r="H129" t="s">
        <v>208</v>
      </c>
      <c r="I129" s="7">
        <f ca="1">(TODAY()-staff[[#This Row],[Date Joined]])/365</f>
        <v>4.6219178082191785</v>
      </c>
      <c r="J129" s="20">
        <f ca="1">ROUNDUP(IF(staff[[#This Row],[Tenure]]&gt;3,3%,2%)*staff[[#This Row],[Salary]],0)</f>
        <v>2774</v>
      </c>
      <c r="K129" s="29">
        <f>_xlfn.XLOOKUP(staff[[#This Row],[Rating]],Analysis!$B$2:$B$6,Analysis!$C$2:$C$6)</f>
        <v>3</v>
      </c>
    </row>
    <row r="130" spans="1:11" x14ac:dyDescent="0.35">
      <c r="A130" t="s">
        <v>169</v>
      </c>
      <c r="B130" t="s">
        <v>8</v>
      </c>
      <c r="C130">
        <v>25</v>
      </c>
      <c r="D130" t="s">
        <v>16</v>
      </c>
      <c r="E130" s="6">
        <v>44144</v>
      </c>
      <c r="F130" t="s">
        <v>19</v>
      </c>
      <c r="G130" s="20">
        <v>92700</v>
      </c>
      <c r="H130" t="s">
        <v>206</v>
      </c>
      <c r="I130" s="7">
        <f ca="1">(TODAY()-staff[[#This Row],[Date Joined]])/365</f>
        <v>5.4465753424657537</v>
      </c>
      <c r="J130" s="20">
        <f ca="1">ROUNDUP(IF(staff[[#This Row],[Tenure]]&gt;3,3%,2%)*staff[[#This Row],[Salary]],0)</f>
        <v>2781</v>
      </c>
      <c r="K130" s="29">
        <f>_xlfn.XLOOKUP(staff[[#This Row],[Rating]],Analysis!$B$2:$B$6,Analysis!$C$2:$C$6)</f>
        <v>3</v>
      </c>
    </row>
    <row r="131" spans="1:11" x14ac:dyDescent="0.35">
      <c r="A131" t="s">
        <v>77</v>
      </c>
      <c r="B131" t="s">
        <v>8</v>
      </c>
      <c r="C131">
        <v>25</v>
      </c>
      <c r="D131" t="s">
        <v>16</v>
      </c>
      <c r="E131" s="6">
        <v>44205</v>
      </c>
      <c r="F131" t="s">
        <v>19</v>
      </c>
      <c r="G131" s="20">
        <v>92700</v>
      </c>
      <c r="H131" t="s">
        <v>208</v>
      </c>
      <c r="I131" s="7">
        <f ca="1">(TODAY()-staff[[#This Row],[Date Joined]])/365</f>
        <v>5.279452054794521</v>
      </c>
      <c r="J131" s="20">
        <f ca="1">ROUNDUP(IF(staff[[#This Row],[Tenure]]&gt;3,3%,2%)*staff[[#This Row],[Salary]],0)</f>
        <v>2781</v>
      </c>
      <c r="K131" s="29">
        <f>_xlfn.XLOOKUP(staff[[#This Row],[Rating]],Analysis!$B$2:$B$6,Analysis!$C$2:$C$6)</f>
        <v>3</v>
      </c>
    </row>
    <row r="132" spans="1:11" x14ac:dyDescent="0.35">
      <c r="A132" t="s">
        <v>163</v>
      </c>
      <c r="B132" t="s">
        <v>8</v>
      </c>
      <c r="C132">
        <v>33</v>
      </c>
      <c r="D132" t="s">
        <v>16</v>
      </c>
      <c r="E132" s="6">
        <v>44129</v>
      </c>
      <c r="F132" t="s">
        <v>12</v>
      </c>
      <c r="G132" s="20">
        <v>96140</v>
      </c>
      <c r="H132" t="s">
        <v>206</v>
      </c>
      <c r="I132" s="7">
        <f ca="1">(TODAY()-staff[[#This Row],[Date Joined]])/365</f>
        <v>5.4876712328767123</v>
      </c>
      <c r="J132" s="20">
        <f ca="1">ROUNDUP(IF(staff[[#This Row],[Tenure]]&gt;3,3%,2%)*staff[[#This Row],[Salary]],0)</f>
        <v>2885</v>
      </c>
      <c r="K132" s="29">
        <f>_xlfn.XLOOKUP(staff[[#This Row],[Rating]],Analysis!$B$2:$B$6,Analysis!$C$2:$C$6)</f>
        <v>3</v>
      </c>
    </row>
    <row r="133" spans="1:11" x14ac:dyDescent="0.35">
      <c r="A133" t="s">
        <v>71</v>
      </c>
      <c r="B133" t="s">
        <v>8</v>
      </c>
      <c r="C133">
        <v>33</v>
      </c>
      <c r="D133" t="s">
        <v>16</v>
      </c>
      <c r="E133" s="6">
        <v>44190</v>
      </c>
      <c r="F133" t="s">
        <v>12</v>
      </c>
      <c r="G133" s="20">
        <v>96140</v>
      </c>
      <c r="H133" t="s">
        <v>208</v>
      </c>
      <c r="I133" s="7">
        <f ca="1">(TODAY()-staff[[#This Row],[Date Joined]])/365</f>
        <v>5.3205479452054796</v>
      </c>
      <c r="J133" s="20">
        <f ca="1">ROUNDUP(IF(staff[[#This Row],[Tenure]]&gt;3,3%,2%)*staff[[#This Row],[Salary]],0)</f>
        <v>2885</v>
      </c>
      <c r="K133" s="29">
        <f>_xlfn.XLOOKUP(staff[[#This Row],[Rating]],Analysis!$B$2:$B$6,Analysis!$C$2:$C$6)</f>
        <v>3</v>
      </c>
    </row>
    <row r="134" spans="1:11" x14ac:dyDescent="0.35">
      <c r="A134" t="s">
        <v>177</v>
      </c>
      <c r="B134" t="s">
        <v>15</v>
      </c>
      <c r="C134">
        <v>30</v>
      </c>
      <c r="D134" t="s">
        <v>16</v>
      </c>
      <c r="E134" s="6">
        <v>44544</v>
      </c>
      <c r="F134" t="s">
        <v>21</v>
      </c>
      <c r="G134" s="20">
        <v>96800</v>
      </c>
      <c r="H134" t="s">
        <v>206</v>
      </c>
      <c r="I134" s="7">
        <f ca="1">(TODAY()-staff[[#This Row],[Date Joined]])/365</f>
        <v>4.3506849315068497</v>
      </c>
      <c r="J134" s="20">
        <f ca="1">ROUNDUP(IF(staff[[#This Row],[Tenure]]&gt;3,3%,2%)*staff[[#This Row],[Salary]],0)</f>
        <v>2904</v>
      </c>
      <c r="K134" s="29">
        <f>_xlfn.XLOOKUP(staff[[#This Row],[Rating]],Analysis!$B$2:$B$6,Analysis!$C$2:$C$6)</f>
        <v>3</v>
      </c>
    </row>
    <row r="135" spans="1:11" x14ac:dyDescent="0.35">
      <c r="A135" t="s">
        <v>85</v>
      </c>
      <c r="B135" t="s">
        <v>15</v>
      </c>
      <c r="C135">
        <v>30</v>
      </c>
      <c r="D135" t="s">
        <v>16</v>
      </c>
      <c r="E135" s="6">
        <v>44606</v>
      </c>
      <c r="F135" t="s">
        <v>21</v>
      </c>
      <c r="G135" s="20">
        <v>96800</v>
      </c>
      <c r="H135" t="s">
        <v>208</v>
      </c>
      <c r="I135" s="7">
        <f ca="1">(TODAY()-staff[[#This Row],[Date Joined]])/365</f>
        <v>4.1808219178082195</v>
      </c>
      <c r="J135" s="20">
        <f ca="1">ROUNDUP(IF(staff[[#This Row],[Tenure]]&gt;3,3%,2%)*staff[[#This Row],[Salary]],0)</f>
        <v>2904</v>
      </c>
      <c r="K135" s="29">
        <f>_xlfn.XLOOKUP(staff[[#This Row],[Rating]],Analysis!$B$2:$B$6,Analysis!$C$2:$C$6)</f>
        <v>3</v>
      </c>
    </row>
    <row r="136" spans="1:11" x14ac:dyDescent="0.35">
      <c r="A136" t="s">
        <v>198</v>
      </c>
      <c r="B136" t="s">
        <v>15</v>
      </c>
      <c r="C136">
        <v>40</v>
      </c>
      <c r="D136" t="s">
        <v>16</v>
      </c>
      <c r="E136" s="6">
        <v>44204</v>
      </c>
      <c r="F136" t="s">
        <v>9</v>
      </c>
      <c r="G136" s="20">
        <v>99750</v>
      </c>
      <c r="H136" t="s">
        <v>206</v>
      </c>
      <c r="I136" s="7">
        <f ca="1">(TODAY()-staff[[#This Row],[Date Joined]])/365</f>
        <v>5.2821917808219174</v>
      </c>
      <c r="J136" s="20">
        <f ca="1">ROUNDUP(IF(staff[[#This Row],[Tenure]]&gt;3,3%,2%)*staff[[#This Row],[Salary]],0)</f>
        <v>2993</v>
      </c>
      <c r="K136" s="29">
        <f>_xlfn.XLOOKUP(staff[[#This Row],[Rating]],Analysis!$B$2:$B$6,Analysis!$C$2:$C$6)</f>
        <v>3</v>
      </c>
    </row>
    <row r="137" spans="1:11" x14ac:dyDescent="0.35">
      <c r="A137" t="s">
        <v>105</v>
      </c>
      <c r="B137" t="s">
        <v>15</v>
      </c>
      <c r="C137">
        <v>40</v>
      </c>
      <c r="D137" t="s">
        <v>16</v>
      </c>
      <c r="E137" s="6">
        <v>44263</v>
      </c>
      <c r="F137" t="s">
        <v>9</v>
      </c>
      <c r="G137" s="20">
        <v>99750</v>
      </c>
      <c r="H137" t="s">
        <v>208</v>
      </c>
      <c r="I137" s="7">
        <f ca="1">(TODAY()-staff[[#This Row],[Date Joined]])/365</f>
        <v>5.1205479452054794</v>
      </c>
      <c r="J137" s="20">
        <f ca="1">ROUNDUP(IF(staff[[#This Row],[Tenure]]&gt;3,3%,2%)*staff[[#This Row],[Salary]],0)</f>
        <v>2993</v>
      </c>
      <c r="K137" s="29">
        <f>_xlfn.XLOOKUP(staff[[#This Row],[Rating]],Analysis!$B$2:$B$6,Analysis!$C$2:$C$6)</f>
        <v>3</v>
      </c>
    </row>
    <row r="138" spans="1:11" x14ac:dyDescent="0.35">
      <c r="A138" t="s">
        <v>200</v>
      </c>
      <c r="B138" t="s">
        <v>8</v>
      </c>
      <c r="C138">
        <v>28</v>
      </c>
      <c r="D138" t="s">
        <v>16</v>
      </c>
      <c r="E138" s="6">
        <v>44571</v>
      </c>
      <c r="F138" t="s">
        <v>9</v>
      </c>
      <c r="G138" s="20">
        <v>99970</v>
      </c>
      <c r="H138" t="s">
        <v>206</v>
      </c>
      <c r="I138" s="7">
        <f ca="1">(TODAY()-staff[[#This Row],[Date Joined]])/365</f>
        <v>4.2767123287671236</v>
      </c>
      <c r="J138" s="20">
        <f ca="1">ROUNDUP(IF(staff[[#This Row],[Tenure]]&gt;3,3%,2%)*staff[[#This Row],[Salary]],0)</f>
        <v>3000</v>
      </c>
      <c r="K138" s="29">
        <f>_xlfn.XLOOKUP(staff[[#This Row],[Rating]],Analysis!$B$2:$B$6,Analysis!$C$2:$C$6)</f>
        <v>3</v>
      </c>
    </row>
    <row r="139" spans="1:11" x14ac:dyDescent="0.35">
      <c r="A139" t="s">
        <v>107</v>
      </c>
      <c r="B139" t="s">
        <v>8</v>
      </c>
      <c r="C139">
        <v>28</v>
      </c>
      <c r="D139" t="s">
        <v>16</v>
      </c>
      <c r="E139" s="6">
        <v>44630</v>
      </c>
      <c r="F139" t="s">
        <v>9</v>
      </c>
      <c r="G139" s="20">
        <v>99970</v>
      </c>
      <c r="H139" t="s">
        <v>208</v>
      </c>
      <c r="I139" s="7">
        <f ca="1">(TODAY()-staff[[#This Row],[Date Joined]])/365</f>
        <v>4.1150684931506847</v>
      </c>
      <c r="J139" s="20">
        <f ca="1">ROUNDUP(IF(staff[[#This Row],[Tenure]]&gt;3,3%,2%)*staff[[#This Row],[Salary]],0)</f>
        <v>3000</v>
      </c>
      <c r="K139" s="29">
        <f>_xlfn.XLOOKUP(staff[[#This Row],[Rating]],Analysis!$B$2:$B$6,Analysis!$C$2:$C$6)</f>
        <v>3</v>
      </c>
    </row>
    <row r="140" spans="1:11" x14ac:dyDescent="0.35">
      <c r="A140" t="s">
        <v>196</v>
      </c>
      <c r="B140" t="s">
        <v>15</v>
      </c>
      <c r="C140">
        <v>24</v>
      </c>
      <c r="D140" t="s">
        <v>16</v>
      </c>
      <c r="E140" s="6">
        <v>44625</v>
      </c>
      <c r="F140" t="s">
        <v>12</v>
      </c>
      <c r="G140" s="20">
        <v>100420</v>
      </c>
      <c r="H140" t="s">
        <v>206</v>
      </c>
      <c r="I140" s="7">
        <f ca="1">(TODAY()-staff[[#This Row],[Date Joined]])/365</f>
        <v>4.1287671232876715</v>
      </c>
      <c r="J140" s="20">
        <f ca="1">ROUNDUP(IF(staff[[#This Row],[Tenure]]&gt;3,3%,2%)*staff[[#This Row],[Salary]],0)</f>
        <v>3013</v>
      </c>
      <c r="K140" s="29">
        <f>_xlfn.XLOOKUP(staff[[#This Row],[Rating]],Analysis!$B$2:$B$6,Analysis!$C$2:$C$6)</f>
        <v>3</v>
      </c>
    </row>
    <row r="141" spans="1:11" x14ac:dyDescent="0.35">
      <c r="A141" t="s">
        <v>103</v>
      </c>
      <c r="B141" t="s">
        <v>15</v>
      </c>
      <c r="C141">
        <v>24</v>
      </c>
      <c r="D141" t="s">
        <v>16</v>
      </c>
      <c r="E141" s="6">
        <v>44686</v>
      </c>
      <c r="F141" t="s">
        <v>12</v>
      </c>
      <c r="G141" s="20">
        <v>100420</v>
      </c>
      <c r="H141" t="s">
        <v>208</v>
      </c>
      <c r="I141" s="7">
        <f ca="1">(TODAY()-staff[[#This Row],[Date Joined]])/365</f>
        <v>3.9616438356164383</v>
      </c>
      <c r="J141" s="20">
        <f ca="1">ROUNDUP(IF(staff[[#This Row],[Tenure]]&gt;3,3%,2%)*staff[[#This Row],[Salary]],0)</f>
        <v>3013</v>
      </c>
      <c r="K141" s="29">
        <f>_xlfn.XLOOKUP(staff[[#This Row],[Rating]],Analysis!$B$2:$B$6,Analysis!$C$2:$C$6)</f>
        <v>3</v>
      </c>
    </row>
    <row r="142" spans="1:11" x14ac:dyDescent="0.35">
      <c r="A142" t="s">
        <v>143</v>
      </c>
      <c r="B142" t="s">
        <v>15</v>
      </c>
      <c r="C142">
        <v>31</v>
      </c>
      <c r="D142" t="s">
        <v>16</v>
      </c>
      <c r="E142" s="6">
        <v>44663</v>
      </c>
      <c r="F142" t="s">
        <v>9</v>
      </c>
      <c r="G142" s="20">
        <v>103550</v>
      </c>
      <c r="H142" t="s">
        <v>206</v>
      </c>
      <c r="I142" s="7">
        <f ca="1">(TODAY()-staff[[#This Row],[Date Joined]])/365</f>
        <v>4.0246575342465754</v>
      </c>
      <c r="J142" s="20">
        <f ca="1">ROUNDUP(IF(staff[[#This Row],[Tenure]]&gt;3,3%,2%)*staff[[#This Row],[Salary]],0)</f>
        <v>3107</v>
      </c>
      <c r="K142" s="29">
        <f>_xlfn.XLOOKUP(staff[[#This Row],[Rating]],Analysis!$B$2:$B$6,Analysis!$C$2:$C$6)</f>
        <v>3</v>
      </c>
    </row>
    <row r="143" spans="1:11" x14ac:dyDescent="0.35">
      <c r="A143" t="s">
        <v>50</v>
      </c>
      <c r="B143" t="s">
        <v>15</v>
      </c>
      <c r="C143">
        <v>31</v>
      </c>
      <c r="D143" t="s">
        <v>16</v>
      </c>
      <c r="E143" s="6">
        <v>44724</v>
      </c>
      <c r="F143" t="s">
        <v>9</v>
      </c>
      <c r="G143" s="20">
        <v>103550</v>
      </c>
      <c r="H143" t="s">
        <v>208</v>
      </c>
      <c r="I143" s="7">
        <f ca="1">(TODAY()-staff[[#This Row],[Date Joined]])/365</f>
        <v>3.8575342465753426</v>
      </c>
      <c r="J143" s="20">
        <f ca="1">ROUNDUP(IF(staff[[#This Row],[Tenure]]&gt;3,3%,2%)*staff[[#This Row],[Salary]],0)</f>
        <v>3107</v>
      </c>
      <c r="K143" s="29">
        <f>_xlfn.XLOOKUP(staff[[#This Row],[Rating]],Analysis!$B$2:$B$6,Analysis!$C$2:$C$6)</f>
        <v>3</v>
      </c>
    </row>
    <row r="144" spans="1:11" x14ac:dyDescent="0.35">
      <c r="A144" t="s">
        <v>189</v>
      </c>
      <c r="B144" t="s">
        <v>8</v>
      </c>
      <c r="C144">
        <v>28</v>
      </c>
      <c r="D144" t="s">
        <v>16</v>
      </c>
      <c r="E144" s="6">
        <v>44590</v>
      </c>
      <c r="F144" t="s">
        <v>9</v>
      </c>
      <c r="G144" s="20">
        <v>104120</v>
      </c>
      <c r="H144" t="s">
        <v>206</v>
      </c>
      <c r="I144" s="7">
        <f ca="1">(TODAY()-staff[[#This Row],[Date Joined]])/365</f>
        <v>4.2246575342465755</v>
      </c>
      <c r="J144" s="20">
        <f ca="1">ROUNDUP(IF(staff[[#This Row],[Tenure]]&gt;3,3%,2%)*staff[[#This Row],[Salary]],0)</f>
        <v>3124</v>
      </c>
      <c r="K144" s="29">
        <f>_xlfn.XLOOKUP(staff[[#This Row],[Rating]],Analysis!$B$2:$B$6,Analysis!$C$2:$C$6)</f>
        <v>3</v>
      </c>
    </row>
    <row r="145" spans="1:11" x14ac:dyDescent="0.35">
      <c r="A145" t="s">
        <v>96</v>
      </c>
      <c r="B145" t="s">
        <v>8</v>
      </c>
      <c r="C145">
        <v>28</v>
      </c>
      <c r="D145" t="s">
        <v>16</v>
      </c>
      <c r="E145" s="6">
        <v>44649</v>
      </c>
      <c r="F145" t="s">
        <v>9</v>
      </c>
      <c r="G145" s="20">
        <v>104120</v>
      </c>
      <c r="H145" t="s">
        <v>208</v>
      </c>
      <c r="I145" s="7">
        <f ca="1">(TODAY()-staff[[#This Row],[Date Joined]])/365</f>
        <v>4.0630136986301366</v>
      </c>
      <c r="J145" s="20">
        <f ca="1">ROUNDUP(IF(staff[[#This Row],[Tenure]]&gt;3,3%,2%)*staff[[#This Row],[Salary]],0)</f>
        <v>3124</v>
      </c>
      <c r="K145" s="29">
        <f>_xlfn.XLOOKUP(staff[[#This Row],[Rating]],Analysis!$B$2:$B$6,Analysis!$C$2:$C$6)</f>
        <v>3</v>
      </c>
    </row>
    <row r="146" spans="1:11" x14ac:dyDescent="0.35">
      <c r="A146" t="s">
        <v>194</v>
      </c>
      <c r="B146" t="s">
        <v>8</v>
      </c>
      <c r="C146">
        <v>40</v>
      </c>
      <c r="D146" t="s">
        <v>16</v>
      </c>
      <c r="E146" s="6">
        <v>44320</v>
      </c>
      <c r="F146" t="s">
        <v>12</v>
      </c>
      <c r="G146" s="20">
        <v>104410</v>
      </c>
      <c r="H146" t="s">
        <v>206</v>
      </c>
      <c r="I146" s="7">
        <f ca="1">(TODAY()-staff[[#This Row],[Date Joined]])/365</f>
        <v>4.9643835616438352</v>
      </c>
      <c r="J146" s="20">
        <f ca="1">ROUNDUP(IF(staff[[#This Row],[Tenure]]&gt;3,3%,2%)*staff[[#This Row],[Salary]],0)</f>
        <v>3133</v>
      </c>
      <c r="K146" s="29">
        <f>_xlfn.XLOOKUP(staff[[#This Row],[Rating]],Analysis!$B$2:$B$6,Analysis!$C$2:$C$6)</f>
        <v>3</v>
      </c>
    </row>
    <row r="147" spans="1:11" x14ac:dyDescent="0.35">
      <c r="A147" t="s">
        <v>101</v>
      </c>
      <c r="B147" t="s">
        <v>8</v>
      </c>
      <c r="C147">
        <v>40</v>
      </c>
      <c r="D147" t="s">
        <v>16</v>
      </c>
      <c r="E147" s="6">
        <v>44381</v>
      </c>
      <c r="F147" t="s">
        <v>12</v>
      </c>
      <c r="G147" s="20">
        <v>104410</v>
      </c>
      <c r="H147" t="s">
        <v>208</v>
      </c>
      <c r="I147" s="7">
        <f ca="1">(TODAY()-staff[[#This Row],[Date Joined]])/365</f>
        <v>4.7972602739726025</v>
      </c>
      <c r="J147" s="20">
        <f ca="1">ROUNDUP(IF(staff[[#This Row],[Tenure]]&gt;3,3%,2%)*staff[[#This Row],[Salary]],0)</f>
        <v>3133</v>
      </c>
      <c r="K147" s="29">
        <f>_xlfn.XLOOKUP(staff[[#This Row],[Rating]],Analysis!$B$2:$B$6,Analysis!$C$2:$C$6)</f>
        <v>3</v>
      </c>
    </row>
    <row r="148" spans="1:11" x14ac:dyDescent="0.35">
      <c r="A148" t="s">
        <v>136</v>
      </c>
      <c r="B148" t="s">
        <v>8</v>
      </c>
      <c r="C148">
        <v>28</v>
      </c>
      <c r="D148" t="s">
        <v>16</v>
      </c>
      <c r="E148" s="6">
        <v>44425</v>
      </c>
      <c r="F148" t="s">
        <v>9</v>
      </c>
      <c r="G148" s="20">
        <v>104770</v>
      </c>
      <c r="H148" t="s">
        <v>206</v>
      </c>
      <c r="I148" s="7">
        <f ca="1">(TODAY()-staff[[#This Row],[Date Joined]])/365</f>
        <v>4.6767123287671231</v>
      </c>
      <c r="J148" s="20">
        <f ca="1">ROUNDUP(IF(staff[[#This Row],[Tenure]]&gt;3,3%,2%)*staff[[#This Row],[Salary]],0)</f>
        <v>3144</v>
      </c>
      <c r="K148" s="29">
        <f>_xlfn.XLOOKUP(staff[[#This Row],[Rating]],Analysis!$B$2:$B$6,Analysis!$C$2:$C$6)</f>
        <v>3</v>
      </c>
    </row>
    <row r="149" spans="1:11" x14ac:dyDescent="0.35">
      <c r="A149" t="s">
        <v>43</v>
      </c>
      <c r="B149" t="s">
        <v>8</v>
      </c>
      <c r="C149">
        <v>28</v>
      </c>
      <c r="D149" t="s">
        <v>16</v>
      </c>
      <c r="E149" s="6">
        <v>44486</v>
      </c>
      <c r="F149" t="s">
        <v>9</v>
      </c>
      <c r="G149" s="20">
        <v>104770</v>
      </c>
      <c r="H149" t="s">
        <v>208</v>
      </c>
      <c r="I149" s="7">
        <f ca="1">(TODAY()-staff[[#This Row],[Date Joined]])/365</f>
        <v>4.5095890410958903</v>
      </c>
      <c r="J149" s="20">
        <f ca="1">ROUNDUP(IF(staff[[#This Row],[Tenure]]&gt;3,3%,2%)*staff[[#This Row],[Salary]],0)</f>
        <v>3144</v>
      </c>
      <c r="K149" s="29">
        <f>_xlfn.XLOOKUP(staff[[#This Row],[Rating]],Analysis!$B$2:$B$6,Analysis!$C$2:$C$6)</f>
        <v>3</v>
      </c>
    </row>
    <row r="150" spans="1:11" x14ac:dyDescent="0.35">
      <c r="A150" t="s">
        <v>161</v>
      </c>
      <c r="B150" t="s">
        <v>15</v>
      </c>
      <c r="C150">
        <v>23</v>
      </c>
      <c r="D150" t="s">
        <v>16</v>
      </c>
      <c r="E150" s="6">
        <v>44378</v>
      </c>
      <c r="F150" t="s">
        <v>9</v>
      </c>
      <c r="G150" s="20">
        <v>106460</v>
      </c>
      <c r="H150" t="s">
        <v>206</v>
      </c>
      <c r="I150" s="7">
        <f ca="1">(TODAY()-staff[[#This Row],[Date Joined]])/365</f>
        <v>4.8054794520547945</v>
      </c>
      <c r="J150" s="20">
        <f ca="1">ROUNDUP(IF(staff[[#This Row],[Tenure]]&gt;3,3%,2%)*staff[[#This Row],[Salary]],0)</f>
        <v>3194</v>
      </c>
      <c r="K150" s="29">
        <f>_xlfn.XLOOKUP(staff[[#This Row],[Rating]],Analysis!$B$2:$B$6,Analysis!$C$2:$C$6)</f>
        <v>3</v>
      </c>
    </row>
    <row r="151" spans="1:11" x14ac:dyDescent="0.35">
      <c r="A151" t="s">
        <v>69</v>
      </c>
      <c r="B151" t="s">
        <v>15</v>
      </c>
      <c r="C151">
        <v>23</v>
      </c>
      <c r="D151" t="s">
        <v>16</v>
      </c>
      <c r="E151" s="6">
        <v>44440</v>
      </c>
      <c r="F151" t="s">
        <v>9</v>
      </c>
      <c r="G151" s="20">
        <v>106460</v>
      </c>
      <c r="H151" t="s">
        <v>208</v>
      </c>
      <c r="I151" s="7">
        <f ca="1">(TODAY()-staff[[#This Row],[Date Joined]])/365</f>
        <v>4.6356164383561644</v>
      </c>
      <c r="J151" s="20">
        <f ca="1">ROUNDUP(IF(staff[[#This Row],[Tenure]]&gt;3,3%,2%)*staff[[#This Row],[Salary]],0)</f>
        <v>3194</v>
      </c>
      <c r="K151" s="29">
        <f>_xlfn.XLOOKUP(staff[[#This Row],[Rating]],Analysis!$B$2:$B$6,Analysis!$C$2:$C$6)</f>
        <v>3</v>
      </c>
    </row>
    <row r="152" spans="1:11" x14ac:dyDescent="0.35">
      <c r="A152" t="s">
        <v>117</v>
      </c>
      <c r="B152" t="s">
        <v>15</v>
      </c>
      <c r="C152">
        <v>20</v>
      </c>
      <c r="D152" t="s">
        <v>16</v>
      </c>
      <c r="E152" s="6">
        <v>44397</v>
      </c>
      <c r="F152" t="s">
        <v>12</v>
      </c>
      <c r="G152" s="20">
        <v>107700</v>
      </c>
      <c r="H152" t="s">
        <v>206</v>
      </c>
      <c r="I152" s="7">
        <f ca="1">(TODAY()-staff[[#This Row],[Date Joined]])/365</f>
        <v>4.7534246575342465</v>
      </c>
      <c r="J152" s="20">
        <f ca="1">ROUNDUP(IF(staff[[#This Row],[Tenure]]&gt;3,3%,2%)*staff[[#This Row],[Salary]],0)</f>
        <v>3231</v>
      </c>
      <c r="K152" s="29">
        <f>_xlfn.XLOOKUP(staff[[#This Row],[Rating]],Analysis!$B$2:$B$6,Analysis!$C$2:$C$6)</f>
        <v>3</v>
      </c>
    </row>
    <row r="153" spans="1:11" x14ac:dyDescent="0.35">
      <c r="A153" t="s">
        <v>22</v>
      </c>
      <c r="B153" t="s">
        <v>15</v>
      </c>
      <c r="C153">
        <v>20</v>
      </c>
      <c r="D153" t="s">
        <v>16</v>
      </c>
      <c r="E153" s="6">
        <v>44459</v>
      </c>
      <c r="F153" t="s">
        <v>12</v>
      </c>
      <c r="G153" s="20">
        <v>107700</v>
      </c>
      <c r="H153" t="s">
        <v>208</v>
      </c>
      <c r="I153" s="7">
        <f ca="1">(TODAY()-staff[[#This Row],[Date Joined]])/365</f>
        <v>4.5835616438356164</v>
      </c>
      <c r="J153" s="20">
        <f ca="1">ROUNDUP(IF(staff[[#This Row],[Tenure]]&gt;3,3%,2%)*staff[[#This Row],[Salary]],0)</f>
        <v>3231</v>
      </c>
      <c r="K153" s="29">
        <f>_xlfn.XLOOKUP(staff[[#This Row],[Rating]],Analysis!$B$2:$B$6,Analysis!$C$2:$C$6)</f>
        <v>3</v>
      </c>
    </row>
    <row r="154" spans="1:11" x14ac:dyDescent="0.35">
      <c r="A154" t="s">
        <v>127</v>
      </c>
      <c r="B154" t="s">
        <v>8</v>
      </c>
      <c r="C154">
        <v>38</v>
      </c>
      <c r="D154" t="s">
        <v>10</v>
      </c>
      <c r="E154" s="6">
        <v>44316</v>
      </c>
      <c r="F154" t="s">
        <v>19</v>
      </c>
      <c r="G154" s="20">
        <v>109160</v>
      </c>
      <c r="H154" t="s">
        <v>206</v>
      </c>
      <c r="I154" s="7">
        <f ca="1">(TODAY()-staff[[#This Row],[Date Joined]])/365</f>
        <v>4.9753424657534246</v>
      </c>
      <c r="J154" s="20">
        <f ca="1">ROUNDUP(IF(staff[[#This Row],[Tenure]]&gt;3,3%,2%)*staff[[#This Row],[Salary]],0)</f>
        <v>3275</v>
      </c>
      <c r="K154" s="29">
        <f>_xlfn.XLOOKUP(staff[[#This Row],[Rating]],Analysis!$B$2:$B$6,Analysis!$C$2:$C$6)</f>
        <v>5</v>
      </c>
    </row>
    <row r="155" spans="1:11" x14ac:dyDescent="0.35">
      <c r="A155" t="s">
        <v>33</v>
      </c>
      <c r="B155" t="s">
        <v>8</v>
      </c>
      <c r="C155">
        <v>38</v>
      </c>
      <c r="D155" t="s">
        <v>10</v>
      </c>
      <c r="E155" s="6">
        <v>44377</v>
      </c>
      <c r="F155" t="s">
        <v>19</v>
      </c>
      <c r="G155" s="20">
        <v>109160</v>
      </c>
      <c r="H155" t="s">
        <v>208</v>
      </c>
      <c r="I155" s="7">
        <f ca="1">(TODAY()-staff[[#This Row],[Date Joined]])/365</f>
        <v>4.8082191780821919</v>
      </c>
      <c r="J155" s="20">
        <f ca="1">ROUNDUP(IF(staff[[#This Row],[Tenure]]&gt;3,3%,2%)*staff[[#This Row],[Salary]],0)</f>
        <v>3275</v>
      </c>
      <c r="K155" s="29">
        <f>_xlfn.XLOOKUP(staff[[#This Row],[Rating]],Analysis!$B$2:$B$6,Analysis!$C$2:$C$6)</f>
        <v>5</v>
      </c>
    </row>
    <row r="156" spans="1:11" x14ac:dyDescent="0.35">
      <c r="A156" t="s">
        <v>128</v>
      </c>
      <c r="B156" t="s">
        <v>15</v>
      </c>
      <c r="C156">
        <v>25</v>
      </c>
      <c r="D156" t="s">
        <v>13</v>
      </c>
      <c r="E156" s="6">
        <v>44665</v>
      </c>
      <c r="F156" t="s">
        <v>9</v>
      </c>
      <c r="G156" s="20">
        <v>109190</v>
      </c>
      <c r="H156" t="s">
        <v>206</v>
      </c>
      <c r="I156" s="7">
        <f ca="1">(TODAY()-staff[[#This Row],[Date Joined]])/365</f>
        <v>4.0191780821917806</v>
      </c>
      <c r="J156" s="20">
        <f ca="1">ROUNDUP(IF(staff[[#This Row],[Tenure]]&gt;3,3%,2%)*staff[[#This Row],[Salary]],0)</f>
        <v>3276</v>
      </c>
      <c r="K156" s="29">
        <f>_xlfn.XLOOKUP(staff[[#This Row],[Rating]],Analysis!$B$2:$B$6,Analysis!$C$2:$C$6)</f>
        <v>4</v>
      </c>
    </row>
    <row r="157" spans="1:11" x14ac:dyDescent="0.35">
      <c r="A157" t="s">
        <v>34</v>
      </c>
      <c r="B157" t="s">
        <v>15</v>
      </c>
      <c r="C157">
        <v>25</v>
      </c>
      <c r="D157" t="s">
        <v>13</v>
      </c>
      <c r="E157" s="6">
        <v>44726</v>
      </c>
      <c r="F157" t="s">
        <v>9</v>
      </c>
      <c r="G157" s="20">
        <v>109190</v>
      </c>
      <c r="H157" t="s">
        <v>208</v>
      </c>
      <c r="I157" s="7">
        <f ca="1">(TODAY()-staff[[#This Row],[Date Joined]])/365</f>
        <v>3.8520547945205479</v>
      </c>
      <c r="J157" s="20">
        <f ca="1">ROUNDUP(IF(staff[[#This Row],[Tenure]]&gt;3,3%,2%)*staff[[#This Row],[Salary]],0)</f>
        <v>3276</v>
      </c>
      <c r="K157" s="29">
        <f>_xlfn.XLOOKUP(staff[[#This Row],[Rating]],Analysis!$B$2:$B$6,Analysis!$C$2:$C$6)</f>
        <v>4</v>
      </c>
    </row>
    <row r="158" spans="1:11" x14ac:dyDescent="0.35">
      <c r="A158" t="s">
        <v>180</v>
      </c>
      <c r="B158" t="s">
        <v>15</v>
      </c>
      <c r="C158">
        <v>29</v>
      </c>
      <c r="D158" t="s">
        <v>24</v>
      </c>
      <c r="E158" s="6">
        <v>44119</v>
      </c>
      <c r="F158" t="s">
        <v>12</v>
      </c>
      <c r="G158" s="20">
        <v>112110</v>
      </c>
      <c r="H158" t="s">
        <v>206</v>
      </c>
      <c r="I158" s="7">
        <f ca="1">(TODAY()-staff[[#This Row],[Date Joined]])/365</f>
        <v>5.515068493150685</v>
      </c>
      <c r="J158" s="20">
        <f ca="1">ROUNDUP(IF(staff[[#This Row],[Tenure]]&gt;3,3%,2%)*staff[[#This Row],[Salary]],0)</f>
        <v>3364</v>
      </c>
      <c r="K158" s="29">
        <f>_xlfn.XLOOKUP(staff[[#This Row],[Rating]],Analysis!$B$2:$B$6,Analysis!$C$2:$C$6)</f>
        <v>2</v>
      </c>
    </row>
    <row r="159" spans="1:11" x14ac:dyDescent="0.35">
      <c r="A159" t="s">
        <v>87</v>
      </c>
      <c r="B159" t="s">
        <v>15</v>
      </c>
      <c r="C159">
        <v>29</v>
      </c>
      <c r="D159" t="s">
        <v>24</v>
      </c>
      <c r="E159" s="6">
        <v>44180</v>
      </c>
      <c r="F159" t="s">
        <v>12</v>
      </c>
      <c r="G159" s="20">
        <v>112110</v>
      </c>
      <c r="H159" t="s">
        <v>208</v>
      </c>
      <c r="I159" s="7">
        <f ca="1">(TODAY()-staff[[#This Row],[Date Joined]])/365</f>
        <v>5.3479452054794523</v>
      </c>
      <c r="J159" s="20">
        <f ca="1">ROUNDUP(IF(staff[[#This Row],[Tenure]]&gt;3,3%,2%)*staff[[#This Row],[Salary]],0)</f>
        <v>3364</v>
      </c>
      <c r="K159" s="29">
        <f>_xlfn.XLOOKUP(staff[[#This Row],[Rating]],Analysis!$B$2:$B$6,Analysis!$C$2:$C$6)</f>
        <v>2</v>
      </c>
    </row>
    <row r="160" spans="1:11" x14ac:dyDescent="0.35">
      <c r="A160" t="s">
        <v>173</v>
      </c>
      <c r="B160" t="s">
        <v>8</v>
      </c>
      <c r="C160">
        <v>30</v>
      </c>
      <c r="D160" t="s">
        <v>16</v>
      </c>
      <c r="E160" s="6">
        <v>44800</v>
      </c>
      <c r="F160" t="s">
        <v>9</v>
      </c>
      <c r="G160" s="20">
        <v>112570</v>
      </c>
      <c r="H160" t="s">
        <v>206</v>
      </c>
      <c r="I160" s="7">
        <f ca="1">(TODAY()-staff[[#This Row],[Date Joined]])/365</f>
        <v>3.6493150684931508</v>
      </c>
      <c r="J160" s="20">
        <f ca="1">ROUNDUP(IF(staff[[#This Row],[Tenure]]&gt;3,3%,2%)*staff[[#This Row],[Salary]],0)</f>
        <v>3378</v>
      </c>
      <c r="K160" s="29">
        <f>_xlfn.XLOOKUP(staff[[#This Row],[Rating]],Analysis!$B$2:$B$6,Analysis!$C$2:$C$6)</f>
        <v>3</v>
      </c>
    </row>
    <row r="161" spans="1:11" x14ac:dyDescent="0.35">
      <c r="A161" t="s">
        <v>81</v>
      </c>
      <c r="B161" t="s">
        <v>8</v>
      </c>
      <c r="C161">
        <v>30</v>
      </c>
      <c r="D161" t="s">
        <v>16</v>
      </c>
      <c r="E161" s="6">
        <v>44861</v>
      </c>
      <c r="F161" t="s">
        <v>9</v>
      </c>
      <c r="G161" s="20">
        <v>112570</v>
      </c>
      <c r="H161" t="s">
        <v>208</v>
      </c>
      <c r="I161" s="7">
        <f ca="1">(TODAY()-staff[[#This Row],[Date Joined]])/365</f>
        <v>3.4821917808219176</v>
      </c>
      <c r="J161" s="20">
        <f ca="1">ROUNDUP(IF(staff[[#This Row],[Tenure]]&gt;3,3%,2%)*staff[[#This Row],[Salary]],0)</f>
        <v>3378</v>
      </c>
      <c r="K161" s="29">
        <f>_xlfn.XLOOKUP(staff[[#This Row],[Rating]],Analysis!$B$2:$B$6,Analysis!$C$2:$C$6)</f>
        <v>3</v>
      </c>
    </row>
    <row r="162" spans="1:11" x14ac:dyDescent="0.35">
      <c r="A162" t="s">
        <v>156</v>
      </c>
      <c r="B162" t="s">
        <v>15</v>
      </c>
      <c r="C162">
        <v>20</v>
      </c>
      <c r="D162" t="s">
        <v>16</v>
      </c>
      <c r="E162" s="6">
        <v>44122</v>
      </c>
      <c r="F162" t="s">
        <v>12</v>
      </c>
      <c r="G162" s="20">
        <v>112650</v>
      </c>
      <c r="H162" t="s">
        <v>206</v>
      </c>
      <c r="I162" s="7">
        <f ca="1">(TODAY()-staff[[#This Row],[Date Joined]])/365</f>
        <v>5.506849315068493</v>
      </c>
      <c r="J162" s="20">
        <f ca="1">ROUNDUP(IF(staff[[#This Row],[Tenure]]&gt;3,3%,2%)*staff[[#This Row],[Salary]],0)</f>
        <v>3380</v>
      </c>
      <c r="K162" s="29">
        <f>_xlfn.XLOOKUP(staff[[#This Row],[Rating]],Analysis!$B$2:$B$6,Analysis!$C$2:$C$6)</f>
        <v>3</v>
      </c>
    </row>
    <row r="163" spans="1:11" x14ac:dyDescent="0.35">
      <c r="A163" t="s">
        <v>178</v>
      </c>
      <c r="B163" t="s">
        <v>15</v>
      </c>
      <c r="C163">
        <v>34</v>
      </c>
      <c r="D163" t="s">
        <v>16</v>
      </c>
      <c r="E163" s="6">
        <v>44642</v>
      </c>
      <c r="F163" t="s">
        <v>9</v>
      </c>
      <c r="G163" s="20">
        <v>112650</v>
      </c>
      <c r="H163" t="s">
        <v>206</v>
      </c>
      <c r="I163" s="7">
        <f ca="1">(TODAY()-staff[[#This Row],[Date Joined]])/365</f>
        <v>4.0821917808219181</v>
      </c>
      <c r="J163" s="20">
        <f ca="1">ROUNDUP(IF(staff[[#This Row],[Tenure]]&gt;3,3%,2%)*staff[[#This Row],[Salary]],0)</f>
        <v>3380</v>
      </c>
      <c r="K163" s="29">
        <f>_xlfn.XLOOKUP(staff[[#This Row],[Rating]],Analysis!$B$2:$B$6,Analysis!$C$2:$C$6)</f>
        <v>3</v>
      </c>
    </row>
    <row r="164" spans="1:11" x14ac:dyDescent="0.35">
      <c r="A164" t="s">
        <v>64</v>
      </c>
      <c r="B164" t="s">
        <v>15</v>
      </c>
      <c r="C164">
        <v>20</v>
      </c>
      <c r="D164" t="s">
        <v>16</v>
      </c>
      <c r="E164" s="6">
        <v>44183</v>
      </c>
      <c r="F164" t="s">
        <v>12</v>
      </c>
      <c r="G164" s="20">
        <v>112650</v>
      </c>
      <c r="H164" t="s">
        <v>208</v>
      </c>
      <c r="I164" s="7">
        <f ca="1">(TODAY()-staff[[#This Row],[Date Joined]])/365</f>
        <v>5.3397260273972602</v>
      </c>
      <c r="J164" s="20">
        <f ca="1">ROUNDUP(IF(staff[[#This Row],[Tenure]]&gt;3,3%,2%)*staff[[#This Row],[Salary]],0)</f>
        <v>3380</v>
      </c>
      <c r="K164" s="29">
        <f>_xlfn.XLOOKUP(staff[[#This Row],[Rating]],Analysis!$B$2:$B$6,Analysis!$C$2:$C$6)</f>
        <v>3</v>
      </c>
    </row>
    <row r="165" spans="1:11" x14ac:dyDescent="0.35">
      <c r="A165" t="s">
        <v>150</v>
      </c>
      <c r="B165" t="s">
        <v>15</v>
      </c>
      <c r="C165">
        <v>22</v>
      </c>
      <c r="D165" t="s">
        <v>13</v>
      </c>
      <c r="E165" s="6">
        <v>44384</v>
      </c>
      <c r="F165" t="s">
        <v>19</v>
      </c>
      <c r="G165" s="20">
        <v>112780</v>
      </c>
      <c r="H165" t="s">
        <v>206</v>
      </c>
      <c r="I165" s="7">
        <f ca="1">(TODAY()-staff[[#This Row],[Date Joined]])/365</f>
        <v>4.7890410958904113</v>
      </c>
      <c r="J165" s="20">
        <f ca="1">ROUNDUP(IF(staff[[#This Row],[Tenure]]&gt;3,3%,2%)*staff[[#This Row],[Salary]],0)</f>
        <v>3384</v>
      </c>
      <c r="K165" s="29">
        <f>_xlfn.XLOOKUP(staff[[#This Row],[Rating]],Analysis!$B$2:$B$6,Analysis!$C$2:$C$6)</f>
        <v>4</v>
      </c>
    </row>
    <row r="166" spans="1:11" x14ac:dyDescent="0.35">
      <c r="A166" t="s">
        <v>58</v>
      </c>
      <c r="B166" t="s">
        <v>15</v>
      </c>
      <c r="C166">
        <v>22</v>
      </c>
      <c r="D166" t="s">
        <v>13</v>
      </c>
      <c r="E166" s="6">
        <v>44446</v>
      </c>
      <c r="F166" t="s">
        <v>19</v>
      </c>
      <c r="G166" s="20">
        <v>112780</v>
      </c>
      <c r="H166" t="s">
        <v>208</v>
      </c>
      <c r="I166" s="7">
        <f ca="1">(TODAY()-staff[[#This Row],[Date Joined]])/365</f>
        <v>4.6191780821917812</v>
      </c>
      <c r="J166" s="20">
        <f ca="1">ROUNDUP(IF(staff[[#This Row],[Tenure]]&gt;3,3%,2%)*staff[[#This Row],[Salary]],0)</f>
        <v>3384</v>
      </c>
      <c r="K166" s="29">
        <f>_xlfn.XLOOKUP(staff[[#This Row],[Rating]],Analysis!$B$2:$B$6,Analysis!$C$2:$C$6)</f>
        <v>4</v>
      </c>
    </row>
    <row r="167" spans="1:11" x14ac:dyDescent="0.35">
      <c r="A167" t="s">
        <v>191</v>
      </c>
      <c r="B167" t="s">
        <v>15</v>
      </c>
      <c r="C167">
        <v>27</v>
      </c>
      <c r="D167" t="s">
        <v>42</v>
      </c>
      <c r="E167" s="6">
        <v>44547</v>
      </c>
      <c r="F167" t="s">
        <v>9</v>
      </c>
      <c r="G167" s="20">
        <v>113280</v>
      </c>
      <c r="H167" t="s">
        <v>206</v>
      </c>
      <c r="I167" s="7">
        <f ca="1">(TODAY()-staff[[#This Row],[Date Joined]])/365</f>
        <v>4.3424657534246576</v>
      </c>
      <c r="J167" s="20">
        <f ca="1">ROUNDUP(IF(staff[[#This Row],[Tenure]]&gt;3,3%,2%)*staff[[#This Row],[Salary]],0)</f>
        <v>3399</v>
      </c>
      <c r="K167" s="29">
        <f>_xlfn.XLOOKUP(staff[[#This Row],[Rating]],Analysis!$B$2:$B$6,Analysis!$C$2:$C$6)</f>
        <v>1</v>
      </c>
    </row>
    <row r="168" spans="1:11" x14ac:dyDescent="0.35">
      <c r="A168" t="s">
        <v>98</v>
      </c>
      <c r="B168" t="s">
        <v>15</v>
      </c>
      <c r="C168">
        <v>27</v>
      </c>
      <c r="D168" t="s">
        <v>42</v>
      </c>
      <c r="E168" s="6">
        <v>44609</v>
      </c>
      <c r="F168" t="s">
        <v>9</v>
      </c>
      <c r="G168" s="20">
        <v>113280</v>
      </c>
      <c r="H168" t="s">
        <v>208</v>
      </c>
      <c r="I168" s="7">
        <f ca="1">(TODAY()-staff[[#This Row],[Date Joined]])/365</f>
        <v>4.1726027397260275</v>
      </c>
      <c r="J168" s="20">
        <f ca="1">ROUNDUP(IF(staff[[#This Row],[Tenure]]&gt;3,3%,2%)*staff[[#This Row],[Salary]],0)</f>
        <v>3399</v>
      </c>
      <c r="K168" s="29">
        <f>_xlfn.XLOOKUP(staff[[#This Row],[Rating]],Analysis!$B$2:$B$6,Analysis!$C$2:$C$6)</f>
        <v>1</v>
      </c>
    </row>
    <row r="169" spans="1:11" x14ac:dyDescent="0.35">
      <c r="A169" t="s">
        <v>147</v>
      </c>
      <c r="B169" t="s">
        <v>8</v>
      </c>
      <c r="C169">
        <v>30</v>
      </c>
      <c r="D169" t="s">
        <v>16</v>
      </c>
      <c r="E169" s="6">
        <v>44789</v>
      </c>
      <c r="F169" t="s">
        <v>9</v>
      </c>
      <c r="G169" s="20">
        <v>114180</v>
      </c>
      <c r="H169" t="s">
        <v>206</v>
      </c>
      <c r="I169" s="7">
        <f ca="1">(TODAY()-staff[[#This Row],[Date Joined]])/365</f>
        <v>3.6794520547945204</v>
      </c>
      <c r="J169" s="20">
        <f ca="1">ROUNDUP(IF(staff[[#This Row],[Tenure]]&gt;3,3%,2%)*staff[[#This Row],[Salary]],0)</f>
        <v>3426</v>
      </c>
      <c r="K169" s="29">
        <f>_xlfn.XLOOKUP(staff[[#This Row],[Rating]],Analysis!$B$2:$B$6,Analysis!$C$2:$C$6)</f>
        <v>3</v>
      </c>
    </row>
    <row r="170" spans="1:11" x14ac:dyDescent="0.35">
      <c r="A170" t="s">
        <v>54</v>
      </c>
      <c r="B170" t="s">
        <v>8</v>
      </c>
      <c r="C170">
        <v>30</v>
      </c>
      <c r="D170" t="s">
        <v>16</v>
      </c>
      <c r="E170" s="6">
        <v>44850</v>
      </c>
      <c r="F170" t="s">
        <v>9</v>
      </c>
      <c r="G170" s="20">
        <v>114180</v>
      </c>
      <c r="H170" t="s">
        <v>208</v>
      </c>
      <c r="I170" s="7">
        <f ca="1">(TODAY()-staff[[#This Row],[Date Joined]])/365</f>
        <v>3.5123287671232877</v>
      </c>
      <c r="J170" s="20">
        <f ca="1">ROUNDUP(IF(staff[[#This Row],[Tenure]]&gt;3,3%,2%)*staff[[#This Row],[Salary]],0)</f>
        <v>3426</v>
      </c>
      <c r="K170" s="29">
        <f>_xlfn.XLOOKUP(staff[[#This Row],[Rating]],Analysis!$B$2:$B$6,Analysis!$C$2:$C$6)</f>
        <v>3</v>
      </c>
    </row>
    <row r="171" spans="1:11" x14ac:dyDescent="0.35">
      <c r="A171" t="s">
        <v>114</v>
      </c>
      <c r="B171" t="s">
        <v>8</v>
      </c>
      <c r="C171">
        <v>44</v>
      </c>
      <c r="D171" t="s">
        <v>16</v>
      </c>
      <c r="E171" s="6">
        <v>44985</v>
      </c>
      <c r="F171" t="s">
        <v>12</v>
      </c>
      <c r="G171" s="20">
        <v>114870</v>
      </c>
      <c r="H171" t="s">
        <v>206</v>
      </c>
      <c r="I171" s="7">
        <f ca="1">(TODAY()-staff[[#This Row],[Date Joined]])/365</f>
        <v>3.1424657534246574</v>
      </c>
      <c r="J171" s="20">
        <f ca="1">ROUNDUP(IF(staff[[#This Row],[Tenure]]&gt;3,3%,2%)*staff[[#This Row],[Salary]],0)</f>
        <v>3447</v>
      </c>
      <c r="K171" s="29">
        <f>_xlfn.XLOOKUP(staff[[#This Row],[Rating]],Analysis!$B$2:$B$6,Analysis!$C$2:$C$6)</f>
        <v>3</v>
      </c>
    </row>
    <row r="172" spans="1:11" x14ac:dyDescent="0.35">
      <c r="A172" t="s">
        <v>17</v>
      </c>
      <c r="B172" t="s">
        <v>8</v>
      </c>
      <c r="C172">
        <v>43</v>
      </c>
      <c r="D172" t="s">
        <v>16</v>
      </c>
      <c r="E172" s="6">
        <v>45045</v>
      </c>
      <c r="F172" t="s">
        <v>12</v>
      </c>
      <c r="G172" s="20">
        <v>114870</v>
      </c>
      <c r="H172" t="s">
        <v>208</v>
      </c>
      <c r="I172" s="7">
        <f ca="1">(TODAY()-staff[[#This Row],[Date Joined]])/365</f>
        <v>2.978082191780822</v>
      </c>
      <c r="J172" s="20">
        <f ca="1">ROUNDUP(IF(staff[[#This Row],[Tenure]]&gt;3,3%,2%)*staff[[#This Row],[Salary]],0)</f>
        <v>2298</v>
      </c>
      <c r="K172" s="29">
        <f>_xlfn.XLOOKUP(staff[[#This Row],[Rating]],Analysis!$B$2:$B$6,Analysis!$C$2:$C$6)</f>
        <v>3</v>
      </c>
    </row>
    <row r="173" spans="1:11" x14ac:dyDescent="0.35">
      <c r="A173" t="s">
        <v>175</v>
      </c>
      <c r="B173" t="s">
        <v>8</v>
      </c>
      <c r="C173">
        <v>36</v>
      </c>
      <c r="D173" t="s">
        <v>16</v>
      </c>
      <c r="E173" s="6">
        <v>44023</v>
      </c>
      <c r="F173" t="s">
        <v>9</v>
      </c>
      <c r="G173" s="20">
        <v>114890</v>
      </c>
      <c r="H173" t="s">
        <v>206</v>
      </c>
      <c r="I173" s="7">
        <f ca="1">(TODAY()-staff[[#This Row],[Date Joined]])/365</f>
        <v>5.7780821917808218</v>
      </c>
      <c r="J173" s="20">
        <f ca="1">ROUNDUP(IF(staff[[#This Row],[Tenure]]&gt;3,3%,2%)*staff[[#This Row],[Salary]],0)</f>
        <v>3447</v>
      </c>
      <c r="K173" s="29">
        <f>_xlfn.XLOOKUP(staff[[#This Row],[Rating]],Analysis!$B$2:$B$6,Analysis!$C$2:$C$6)</f>
        <v>3</v>
      </c>
    </row>
    <row r="174" spans="1:11" x14ac:dyDescent="0.35">
      <c r="A174" t="s">
        <v>83</v>
      </c>
      <c r="B174" t="s">
        <v>8</v>
      </c>
      <c r="C174">
        <v>36</v>
      </c>
      <c r="D174" t="s">
        <v>16</v>
      </c>
      <c r="E174" s="6">
        <v>44085</v>
      </c>
      <c r="F174" t="s">
        <v>9</v>
      </c>
      <c r="G174" s="20">
        <v>114890</v>
      </c>
      <c r="H174" t="s">
        <v>208</v>
      </c>
      <c r="I174" s="7">
        <f ca="1">(TODAY()-staff[[#This Row],[Date Joined]])/365</f>
        <v>5.6082191780821917</v>
      </c>
      <c r="J174" s="20">
        <f ca="1">ROUNDUP(IF(staff[[#This Row],[Tenure]]&gt;3,3%,2%)*staff[[#This Row],[Salary]],0)</f>
        <v>3447</v>
      </c>
      <c r="K174" s="29">
        <f>_xlfn.XLOOKUP(staff[[#This Row],[Rating]],Analysis!$B$2:$B$6,Analysis!$C$2:$C$6)</f>
        <v>3</v>
      </c>
    </row>
    <row r="175" spans="1:11" x14ac:dyDescent="0.35">
      <c r="A175" t="s">
        <v>142</v>
      </c>
      <c r="B175" t="s">
        <v>207</v>
      </c>
      <c r="C175">
        <v>37</v>
      </c>
      <c r="D175" t="s">
        <v>24</v>
      </c>
      <c r="E175" s="6">
        <v>44085</v>
      </c>
      <c r="F175" t="s">
        <v>21</v>
      </c>
      <c r="G175" s="20">
        <v>115440</v>
      </c>
      <c r="H175" t="s">
        <v>206</v>
      </c>
      <c r="I175" s="7">
        <f ca="1">(TODAY()-staff[[#This Row],[Date Joined]])/365</f>
        <v>5.6082191780821917</v>
      </c>
      <c r="J175" s="20">
        <f ca="1">ROUNDUP(IF(staff[[#This Row],[Tenure]]&gt;3,3%,2%)*staff[[#This Row],[Salary]],0)</f>
        <v>3464</v>
      </c>
      <c r="K175" s="29">
        <f>_xlfn.XLOOKUP(staff[[#This Row],[Rating]],Analysis!$B$2:$B$6,Analysis!$C$2:$C$6)</f>
        <v>2</v>
      </c>
    </row>
    <row r="176" spans="1:11" x14ac:dyDescent="0.35">
      <c r="A176" t="s">
        <v>49</v>
      </c>
      <c r="B176" t="s">
        <v>207</v>
      </c>
      <c r="C176">
        <v>37</v>
      </c>
      <c r="D176" t="s">
        <v>24</v>
      </c>
      <c r="E176" s="6">
        <v>44146</v>
      </c>
      <c r="F176" t="s">
        <v>21</v>
      </c>
      <c r="G176" s="20">
        <v>115440</v>
      </c>
      <c r="H176" t="s">
        <v>208</v>
      </c>
      <c r="I176" s="7">
        <f ca="1">(TODAY()-staff[[#This Row],[Date Joined]])/365</f>
        <v>5.441095890410959</v>
      </c>
      <c r="J176" s="20">
        <f ca="1">ROUNDUP(IF(staff[[#This Row],[Tenure]]&gt;3,3%,2%)*staff[[#This Row],[Salary]],0)</f>
        <v>3464</v>
      </c>
      <c r="K176" s="29">
        <f>_xlfn.XLOOKUP(staff[[#This Row],[Rating]],Analysis!$B$2:$B$6,Analysis!$C$2:$C$6)</f>
        <v>2</v>
      </c>
    </row>
    <row r="177" spans="1:11" x14ac:dyDescent="0.35">
      <c r="A177" t="s">
        <v>134</v>
      </c>
      <c r="B177" t="s">
        <v>15</v>
      </c>
      <c r="C177">
        <v>33</v>
      </c>
      <c r="D177" t="s">
        <v>16</v>
      </c>
      <c r="E177" s="6">
        <v>44103</v>
      </c>
      <c r="F177" t="s">
        <v>9</v>
      </c>
      <c r="G177" s="20">
        <v>115920</v>
      </c>
      <c r="H177" t="s">
        <v>206</v>
      </c>
      <c r="I177" s="7">
        <f ca="1">(TODAY()-staff[[#This Row],[Date Joined]])/365</f>
        <v>5.558904109589041</v>
      </c>
      <c r="J177" s="20">
        <f ca="1">ROUNDUP(IF(staff[[#This Row],[Tenure]]&gt;3,3%,2%)*staff[[#This Row],[Salary]],0)</f>
        <v>3478</v>
      </c>
      <c r="K177" s="29">
        <f>_xlfn.XLOOKUP(staff[[#This Row],[Rating]],Analysis!$B$2:$B$6,Analysis!$C$2:$C$6)</f>
        <v>3</v>
      </c>
    </row>
    <row r="178" spans="1:11" x14ac:dyDescent="0.35">
      <c r="A178" t="s">
        <v>40</v>
      </c>
      <c r="B178" t="s">
        <v>15</v>
      </c>
      <c r="C178">
        <v>33</v>
      </c>
      <c r="D178" t="s">
        <v>16</v>
      </c>
      <c r="E178" s="6">
        <v>44164</v>
      </c>
      <c r="F178" t="s">
        <v>9</v>
      </c>
      <c r="G178" s="20">
        <v>115920</v>
      </c>
      <c r="H178" t="s">
        <v>208</v>
      </c>
      <c r="I178" s="7">
        <f ca="1">(TODAY()-staff[[#This Row],[Date Joined]])/365</f>
        <v>5.3917808219178083</v>
      </c>
      <c r="J178" s="20">
        <f ca="1">ROUNDUP(IF(staff[[#This Row],[Tenure]]&gt;3,3%,2%)*staff[[#This Row],[Salary]],0)</f>
        <v>3478</v>
      </c>
      <c r="K178" s="29">
        <f>_xlfn.XLOOKUP(staff[[#This Row],[Rating]],Analysis!$B$2:$B$6,Analysis!$C$2:$C$6)</f>
        <v>3</v>
      </c>
    </row>
    <row r="179" spans="1:11" x14ac:dyDescent="0.35">
      <c r="A179" t="s">
        <v>148</v>
      </c>
      <c r="B179" t="s">
        <v>8</v>
      </c>
      <c r="C179">
        <v>37</v>
      </c>
      <c r="D179" t="s">
        <v>16</v>
      </c>
      <c r="E179" s="6">
        <v>44389</v>
      </c>
      <c r="F179" t="s">
        <v>56</v>
      </c>
      <c r="G179" s="20">
        <v>118100</v>
      </c>
      <c r="H179" t="s">
        <v>206</v>
      </c>
      <c r="I179" s="7">
        <f ca="1">(TODAY()-staff[[#This Row],[Date Joined]])/365</f>
        <v>4.7753424657534245</v>
      </c>
      <c r="J179" s="20">
        <f ca="1">ROUNDUP(IF(staff[[#This Row],[Tenure]]&gt;3,3%,2%)*staff[[#This Row],[Salary]],0)</f>
        <v>3543</v>
      </c>
      <c r="K179" s="29">
        <f>_xlfn.XLOOKUP(staff[[#This Row],[Rating]],Analysis!$B$2:$B$6,Analysis!$C$2:$C$6)</f>
        <v>3</v>
      </c>
    </row>
    <row r="180" spans="1:11" x14ac:dyDescent="0.35">
      <c r="A180" t="s">
        <v>55</v>
      </c>
      <c r="B180" t="s">
        <v>8</v>
      </c>
      <c r="C180">
        <v>37</v>
      </c>
      <c r="D180" t="s">
        <v>16</v>
      </c>
      <c r="E180" s="6">
        <v>44451</v>
      </c>
      <c r="F180" t="s">
        <v>56</v>
      </c>
      <c r="G180" s="20">
        <v>118100</v>
      </c>
      <c r="H180" t="s">
        <v>208</v>
      </c>
      <c r="I180" s="7">
        <f ca="1">(TODAY()-staff[[#This Row],[Date Joined]])/365</f>
        <v>4.6054794520547944</v>
      </c>
      <c r="J180" s="20">
        <f ca="1">ROUNDUP(IF(staff[[#This Row],[Tenure]]&gt;3,3%,2%)*staff[[#This Row],[Salary]],0)</f>
        <v>3543</v>
      </c>
      <c r="K180" s="29">
        <f>_xlfn.XLOOKUP(staff[[#This Row],[Rating]],Analysis!$B$2:$B$6,Analysis!$C$2:$C$6)</f>
        <v>3</v>
      </c>
    </row>
    <row r="181" spans="1:11" x14ac:dyDescent="0.35">
      <c r="A181" t="s">
        <v>199</v>
      </c>
      <c r="B181" t="s">
        <v>15</v>
      </c>
      <c r="C181">
        <v>36</v>
      </c>
      <c r="D181" t="s">
        <v>16</v>
      </c>
      <c r="E181" s="6">
        <v>43958</v>
      </c>
      <c r="F181" t="s">
        <v>12</v>
      </c>
      <c r="G181" s="20">
        <v>118840</v>
      </c>
      <c r="H181" t="s">
        <v>206</v>
      </c>
      <c r="I181" s="7">
        <f ca="1">(TODAY()-staff[[#This Row],[Date Joined]])/365</f>
        <v>5.956164383561644</v>
      </c>
      <c r="J181" s="20">
        <f ca="1">ROUNDUP(IF(staff[[#This Row],[Tenure]]&gt;3,3%,2%)*staff[[#This Row],[Salary]],0)</f>
        <v>3566</v>
      </c>
      <c r="K181" s="29">
        <f>_xlfn.XLOOKUP(staff[[#This Row],[Rating]],Analysis!$B$2:$B$6,Analysis!$C$2:$C$6)</f>
        <v>3</v>
      </c>
    </row>
    <row r="182" spans="1:11" x14ac:dyDescent="0.35">
      <c r="A182" t="s">
        <v>106</v>
      </c>
      <c r="B182" t="s">
        <v>15</v>
      </c>
      <c r="C182">
        <v>36</v>
      </c>
      <c r="D182" t="s">
        <v>16</v>
      </c>
      <c r="E182" s="6">
        <v>44019</v>
      </c>
      <c r="F182" t="s">
        <v>12</v>
      </c>
      <c r="G182" s="20">
        <v>118840</v>
      </c>
      <c r="H182" t="s">
        <v>208</v>
      </c>
      <c r="I182" s="7">
        <f ca="1">(TODAY()-staff[[#This Row],[Date Joined]])/365</f>
        <v>5.7890410958904113</v>
      </c>
      <c r="J182" s="20">
        <f ca="1">ROUNDUP(IF(staff[[#This Row],[Tenure]]&gt;3,3%,2%)*staff[[#This Row],[Salary]],0)</f>
        <v>3566</v>
      </c>
      <c r="K182" s="29">
        <f>_xlfn.XLOOKUP(staff[[#This Row],[Rating]],Analysis!$B$2:$B$6,Analysis!$C$2:$C$6)</f>
        <v>3</v>
      </c>
    </row>
    <row r="183" spans="1:11" x14ac:dyDescent="0.35">
      <c r="A183" t="s">
        <v>152</v>
      </c>
      <c r="B183" t="s">
        <v>8</v>
      </c>
      <c r="C183">
        <v>27</v>
      </c>
      <c r="D183" t="s">
        <v>16</v>
      </c>
      <c r="E183" s="6">
        <v>44061</v>
      </c>
      <c r="F183" t="s">
        <v>56</v>
      </c>
      <c r="G183" s="20">
        <v>119110</v>
      </c>
      <c r="H183" t="s">
        <v>206</v>
      </c>
      <c r="I183" s="7">
        <f ca="1">(TODAY()-staff[[#This Row],[Date Joined]])/365</f>
        <v>5.6739726027397257</v>
      </c>
      <c r="J183" s="20">
        <f ca="1">ROUNDUP(IF(staff[[#This Row],[Tenure]]&gt;3,3%,2%)*staff[[#This Row],[Salary]],0)</f>
        <v>3574</v>
      </c>
      <c r="K183" s="29">
        <f>_xlfn.XLOOKUP(staff[[#This Row],[Rating]],Analysis!$B$2:$B$6,Analysis!$C$2:$C$6)</f>
        <v>3</v>
      </c>
    </row>
    <row r="184" spans="1:11" x14ac:dyDescent="0.35">
      <c r="A184" t="s">
        <v>60</v>
      </c>
      <c r="B184" t="s">
        <v>8</v>
      </c>
      <c r="C184">
        <v>27</v>
      </c>
      <c r="D184" t="s">
        <v>16</v>
      </c>
      <c r="E184" s="6">
        <v>44122</v>
      </c>
      <c r="F184" t="s">
        <v>56</v>
      </c>
      <c r="G184" s="20">
        <v>119110</v>
      </c>
      <c r="H184" t="s">
        <v>208</v>
      </c>
      <c r="I184" s="7">
        <f ca="1">(TODAY()-staff[[#This Row],[Date Joined]])/365</f>
        <v>5.506849315068493</v>
      </c>
      <c r="J184" s="20">
        <f ca="1">ROUNDUP(IF(staff[[#This Row],[Tenure]]&gt;3,3%,2%)*staff[[#This Row],[Salary]],0)</f>
        <v>3574</v>
      </c>
      <c r="K184" s="29">
        <f>_xlfn.XLOOKUP(staff[[#This Row],[Rating]],Analysis!$B$2:$B$6,Analysis!$C$2:$C$6)</f>
        <v>3</v>
      </c>
    </row>
  </sheetData>
  <conditionalFormatting sqref="G1:G1048576">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7C55B-C4D4-45A6-887E-E2FD1D57698B}">
  <sheetPr>
    <tabColor rgb="FF3333FF"/>
  </sheetPr>
  <dimension ref="B2:D62"/>
  <sheetViews>
    <sheetView workbookViewId="0">
      <selection activeCell="B2" sqref="B2"/>
    </sheetView>
  </sheetViews>
  <sheetFormatPr defaultRowHeight="14.5" x14ac:dyDescent="0.35"/>
  <cols>
    <col min="2" max="2" width="20.453125" customWidth="1"/>
    <col min="3" max="3" width="9.7265625" customWidth="1"/>
    <col min="4" max="4" width="15.54296875" customWidth="1"/>
  </cols>
  <sheetData>
    <row r="2" spans="2:4" ht="23.5" x14ac:dyDescent="0.55000000000000004">
      <c r="B2" s="10">
        <v>3</v>
      </c>
      <c r="C2" t="s">
        <v>222</v>
      </c>
    </row>
    <row r="5" spans="2:4" ht="18.5" x14ac:dyDescent="0.45">
      <c r="B5" t="s">
        <v>223</v>
      </c>
      <c r="C5" s="16" t="s">
        <v>12</v>
      </c>
    </row>
    <row r="7" spans="2:4" x14ac:dyDescent="0.35">
      <c r="B7" t="s">
        <v>224</v>
      </c>
      <c r="C7">
        <f>COUNTIFS(staff[Department],C5)</f>
        <v>54</v>
      </c>
    </row>
    <row r="9" spans="2:4" x14ac:dyDescent="0.35">
      <c r="B9" t="str" cm="1">
        <f t="array" aca="1" ref="B9:D62" ca="1">_xlfn._xlws.SORT(INDEX(_xlfn._xlws.FILTER(staff[],staff[Department]=C5),_xlfn.SEQUENCE(ROWS(_xlfn._xlws.FILTER(staff[],staff[Department]=C5))),{1,7,4}),2,-1)</f>
        <v>Heer Pennathur</v>
      </c>
      <c r="C9">
        <f ca="1"/>
        <v>118840</v>
      </c>
      <c r="D9" t="str">
        <f ca="1"/>
        <v>Average</v>
      </c>
    </row>
    <row r="10" spans="2:4" x14ac:dyDescent="0.35">
      <c r="B10" t="str">
        <f ca="1"/>
        <v>Tawnya Tickel</v>
      </c>
      <c r="C10">
        <f ca="1"/>
        <v>118840</v>
      </c>
      <c r="D10" t="str">
        <f ca="1"/>
        <v>Average</v>
      </c>
    </row>
    <row r="11" spans="2:4" x14ac:dyDescent="0.35">
      <c r="B11" t="str">
        <f ca="1"/>
        <v>Ramnath Ravuri</v>
      </c>
      <c r="C11">
        <f ca="1"/>
        <v>114870</v>
      </c>
      <c r="D11" t="str">
        <f ca="1"/>
        <v>Average</v>
      </c>
    </row>
    <row r="12" spans="2:4" x14ac:dyDescent="0.35">
      <c r="B12" t="str">
        <f ca="1"/>
        <v>Wilone O'Kielt</v>
      </c>
      <c r="C12">
        <f ca="1"/>
        <v>114870</v>
      </c>
      <c r="D12" t="str">
        <f ca="1"/>
        <v>Average</v>
      </c>
    </row>
    <row r="13" spans="2:4" x14ac:dyDescent="0.35">
      <c r="B13" t="str">
        <f ca="1"/>
        <v>Deepali Charan</v>
      </c>
      <c r="C13">
        <f ca="1"/>
        <v>112650</v>
      </c>
      <c r="D13" t="str">
        <f ca="1"/>
        <v>Average</v>
      </c>
    </row>
    <row r="14" spans="2:4" x14ac:dyDescent="0.35">
      <c r="B14" t="str">
        <f ca="1"/>
        <v>Mollie Hanway</v>
      </c>
      <c r="C14">
        <f ca="1"/>
        <v>112650</v>
      </c>
      <c r="D14" t="str">
        <f ca="1"/>
        <v>Average</v>
      </c>
    </row>
    <row r="15" spans="2:4" x14ac:dyDescent="0.35">
      <c r="B15" t="str">
        <f ca="1"/>
        <v>Narois Motiwala</v>
      </c>
      <c r="C15">
        <f ca="1"/>
        <v>112110</v>
      </c>
      <c r="D15" t="str">
        <f ca="1"/>
        <v>Poor</v>
      </c>
    </row>
    <row r="16" spans="2:4" x14ac:dyDescent="0.35">
      <c r="B16" t="str">
        <f ca="1"/>
        <v>Bev Lashley</v>
      </c>
      <c r="C16">
        <f ca="1"/>
        <v>112110</v>
      </c>
      <c r="D16" t="str">
        <f ca="1"/>
        <v>Poor</v>
      </c>
    </row>
    <row r="17" spans="2:4" x14ac:dyDescent="0.35">
      <c r="B17" t="str">
        <f ca="1"/>
        <v>Hridaynath Tendulkar</v>
      </c>
      <c r="C17">
        <f ca="1"/>
        <v>107700</v>
      </c>
      <c r="D17" t="str">
        <f ca="1"/>
        <v>Average</v>
      </c>
    </row>
    <row r="18" spans="2:4" x14ac:dyDescent="0.35">
      <c r="B18" t="str">
        <f ca="1"/>
        <v>Kaine Padly</v>
      </c>
      <c r="C18">
        <f ca="1"/>
        <v>107700</v>
      </c>
      <c r="D18" t="str">
        <f ca="1"/>
        <v>Average</v>
      </c>
    </row>
    <row r="19" spans="2:4" x14ac:dyDescent="0.35">
      <c r="B19" t="str">
        <f ca="1"/>
        <v>Manjusri Ruchi</v>
      </c>
      <c r="C19">
        <f ca="1"/>
        <v>104410</v>
      </c>
      <c r="D19" t="str">
        <f ca="1"/>
        <v>Average</v>
      </c>
    </row>
    <row r="20" spans="2:4" x14ac:dyDescent="0.35">
      <c r="B20" t="str">
        <f ca="1"/>
        <v>Caro Chappel</v>
      </c>
      <c r="C20">
        <f ca="1"/>
        <v>104410</v>
      </c>
      <c r="D20" t="str">
        <f ca="1"/>
        <v>Average</v>
      </c>
    </row>
    <row r="21" spans="2:4" x14ac:dyDescent="0.35">
      <c r="B21" t="str">
        <f ca="1"/>
        <v>Amlankusum Rajabhushan</v>
      </c>
      <c r="C21">
        <f ca="1"/>
        <v>100420</v>
      </c>
      <c r="D21" t="str">
        <f ca="1"/>
        <v>Average</v>
      </c>
    </row>
    <row r="22" spans="2:4" x14ac:dyDescent="0.35">
      <c r="B22" t="str">
        <f ca="1"/>
        <v>Collin Jagson</v>
      </c>
      <c r="C22">
        <f ca="1"/>
        <v>100420</v>
      </c>
      <c r="D22" t="str">
        <f ca="1"/>
        <v>Average</v>
      </c>
    </row>
    <row r="23" spans="2:4" x14ac:dyDescent="0.35">
      <c r="B23" t="str">
        <f ca="1"/>
        <v>Sukhdev Nageshwar</v>
      </c>
      <c r="C23">
        <f ca="1"/>
        <v>96140</v>
      </c>
      <c r="D23" t="str">
        <f ca="1"/>
        <v>Average</v>
      </c>
    </row>
    <row r="24" spans="2:4" x14ac:dyDescent="0.35">
      <c r="B24" t="str">
        <f ca="1"/>
        <v>Torrance Collier</v>
      </c>
      <c r="C24">
        <f ca="1"/>
        <v>96140</v>
      </c>
      <c r="D24" t="str">
        <f ca="1"/>
        <v>Average</v>
      </c>
    </row>
    <row r="25" spans="2:4" x14ac:dyDescent="0.35">
      <c r="B25" t="str">
        <f ca="1"/>
        <v>Rukma Vinita</v>
      </c>
      <c r="C25">
        <f ca="1"/>
        <v>91310</v>
      </c>
      <c r="D25" t="str">
        <f ca="1"/>
        <v>Average</v>
      </c>
    </row>
    <row r="26" spans="2:4" x14ac:dyDescent="0.35">
      <c r="B26" t="str">
        <f ca="1"/>
        <v>Madge McCloughen</v>
      </c>
      <c r="C26">
        <f ca="1"/>
        <v>91310</v>
      </c>
      <c r="D26" t="str">
        <f ca="1"/>
        <v>Average</v>
      </c>
    </row>
    <row r="27" spans="2:4" x14ac:dyDescent="0.35">
      <c r="B27" t="str">
        <f ca="1"/>
        <v>Karuna Pashupathy</v>
      </c>
      <c r="C27">
        <f ca="1"/>
        <v>90700</v>
      </c>
      <c r="D27" t="str">
        <f ca="1"/>
        <v>Above average</v>
      </c>
    </row>
    <row r="28" spans="2:4" x14ac:dyDescent="0.35">
      <c r="B28" t="str">
        <f ca="1"/>
        <v>Dennison Crosswaite</v>
      </c>
      <c r="C28">
        <f ca="1"/>
        <v>90700</v>
      </c>
      <c r="D28" t="str">
        <f ca="1"/>
        <v>Above average</v>
      </c>
    </row>
    <row r="29" spans="2:4" x14ac:dyDescent="0.35">
      <c r="B29" t="str">
        <f ca="1"/>
        <v>Gangadutt Ragha</v>
      </c>
      <c r="C29">
        <f ca="1"/>
        <v>88050</v>
      </c>
      <c r="D29" t="str">
        <f ca="1"/>
        <v>Poor</v>
      </c>
    </row>
    <row r="30" spans="2:4" x14ac:dyDescent="0.35">
      <c r="B30" t="str">
        <f ca="1"/>
        <v>Ches Bonnell</v>
      </c>
      <c r="C30">
        <f ca="1"/>
        <v>88050</v>
      </c>
      <c r="D30" t="str">
        <f ca="1"/>
        <v>Poor</v>
      </c>
    </row>
    <row r="31" spans="2:4" x14ac:dyDescent="0.35">
      <c r="B31" t="str">
        <f ca="1"/>
        <v>Godavari Veena</v>
      </c>
      <c r="C31">
        <f ca="1"/>
        <v>87620</v>
      </c>
      <c r="D31" t="str">
        <f ca="1"/>
        <v>Average</v>
      </c>
    </row>
    <row r="32" spans="2:4" x14ac:dyDescent="0.35">
      <c r="B32" t="str">
        <f ca="1"/>
        <v>Merrilee Plenty</v>
      </c>
      <c r="C32">
        <f ca="1"/>
        <v>87620</v>
      </c>
      <c r="D32" t="str">
        <f ca="1"/>
        <v>Average</v>
      </c>
    </row>
    <row r="33" spans="2:4" x14ac:dyDescent="0.35">
      <c r="B33" t="str">
        <f ca="1"/>
        <v>Kunja Prashanta Vibha</v>
      </c>
      <c r="C33">
        <f ca="1"/>
        <v>83750</v>
      </c>
      <c r="D33" t="str">
        <f ca="1"/>
        <v>Average</v>
      </c>
    </row>
    <row r="34" spans="2:4" x14ac:dyDescent="0.35">
      <c r="B34" t="str">
        <f ca="1"/>
        <v>Agnes Collicott</v>
      </c>
      <c r="C34">
        <f ca="1"/>
        <v>83750</v>
      </c>
      <c r="D34" t="str">
        <f ca="1"/>
        <v>Average</v>
      </c>
    </row>
    <row r="35" spans="2:4" x14ac:dyDescent="0.35">
      <c r="B35" t="str">
        <f ca="1"/>
        <v>Bhuvan Pals</v>
      </c>
      <c r="C35">
        <f ca="1"/>
        <v>80700</v>
      </c>
      <c r="D35" t="str">
        <f ca="1"/>
        <v>Above average</v>
      </c>
    </row>
    <row r="36" spans="2:4" x14ac:dyDescent="0.35">
      <c r="B36" t="str">
        <f ca="1"/>
        <v>Van Tuxwell</v>
      </c>
      <c r="C36">
        <f ca="1"/>
        <v>80700</v>
      </c>
      <c r="D36" t="str">
        <f ca="1"/>
        <v>Above average</v>
      </c>
    </row>
    <row r="37" spans="2:4" x14ac:dyDescent="0.35">
      <c r="B37" t="str">
        <f ca="1"/>
        <v>Ayog Chakrabarti</v>
      </c>
      <c r="C37">
        <f ca="1"/>
        <v>75480</v>
      </c>
      <c r="D37" t="str">
        <f ca="1"/>
        <v>Very poor</v>
      </c>
    </row>
    <row r="38" spans="2:4" x14ac:dyDescent="0.35">
      <c r="B38" t="str">
        <f ca="1"/>
        <v>Camilla Castle</v>
      </c>
      <c r="C38">
        <f ca="1"/>
        <v>75480</v>
      </c>
      <c r="D38" t="str">
        <f ca="1"/>
        <v>Very poor</v>
      </c>
    </row>
    <row r="39" spans="2:4" x14ac:dyDescent="0.35">
      <c r="B39" t="str">
        <f ca="1"/>
        <v>Hemavati Muthiah</v>
      </c>
      <c r="C39">
        <f ca="1"/>
        <v>75280</v>
      </c>
      <c r="D39" t="str">
        <f ca="1"/>
        <v>Average</v>
      </c>
    </row>
    <row r="40" spans="2:4" x14ac:dyDescent="0.35">
      <c r="B40" t="str">
        <f ca="1"/>
        <v>Elia Cockton</v>
      </c>
      <c r="C40">
        <f ca="1"/>
        <v>75280</v>
      </c>
      <c r="D40" t="str">
        <f ca="1"/>
        <v>Average</v>
      </c>
    </row>
    <row r="41" spans="2:4" x14ac:dyDescent="0.35">
      <c r="B41" t="str">
        <f ca="1"/>
        <v>Shekhar Eswara</v>
      </c>
      <c r="C41">
        <f ca="1"/>
        <v>69710</v>
      </c>
      <c r="D41" t="str">
        <f ca="1"/>
        <v>Average</v>
      </c>
    </row>
    <row r="42" spans="2:4" x14ac:dyDescent="0.35">
      <c r="B42" t="str">
        <f ca="1"/>
        <v>Myer McCory</v>
      </c>
      <c r="C42">
        <f ca="1"/>
        <v>69710</v>
      </c>
      <c r="D42" t="str">
        <f ca="1"/>
        <v>Average</v>
      </c>
    </row>
    <row r="43" spans="2:4" x14ac:dyDescent="0.35">
      <c r="B43" t="str">
        <f ca="1"/>
        <v>Rameshwari Chikodi</v>
      </c>
      <c r="C43">
        <f ca="1"/>
        <v>69120</v>
      </c>
      <c r="D43" t="str">
        <f ca="1"/>
        <v>Average</v>
      </c>
    </row>
    <row r="44" spans="2:4" x14ac:dyDescent="0.35">
      <c r="B44" t="str">
        <f ca="1"/>
        <v>Andria Kimpton</v>
      </c>
      <c r="C44">
        <f ca="1"/>
        <v>69120</v>
      </c>
      <c r="D44" t="str">
        <f ca="1"/>
        <v>Average</v>
      </c>
    </row>
    <row r="45" spans="2:4" x14ac:dyDescent="0.35">
      <c r="B45" t="str">
        <f ca="1"/>
        <v>Jaishree Atasi Yavatkar</v>
      </c>
      <c r="C45">
        <f ca="1"/>
        <v>69070</v>
      </c>
      <c r="D45" t="str">
        <f ca="1"/>
        <v>Average</v>
      </c>
    </row>
    <row r="46" spans="2:4" x14ac:dyDescent="0.35">
      <c r="B46" t="str">
        <f ca="1"/>
        <v>Murry Dryburgh</v>
      </c>
      <c r="C46">
        <f ca="1"/>
        <v>69070</v>
      </c>
      <c r="D46" t="str">
        <f ca="1"/>
        <v>Average</v>
      </c>
    </row>
    <row r="47" spans="2:4" x14ac:dyDescent="0.35">
      <c r="B47" t="str">
        <f ca="1"/>
        <v>Fullara Sushanti Mokate</v>
      </c>
      <c r="C47">
        <f ca="1"/>
        <v>62780</v>
      </c>
      <c r="D47" t="str">
        <f ca="1"/>
        <v>Average</v>
      </c>
    </row>
    <row r="48" spans="2:4" x14ac:dyDescent="0.35">
      <c r="B48" t="str">
        <f ca="1"/>
        <v>Vic Radolf</v>
      </c>
      <c r="C48">
        <f ca="1"/>
        <v>62780</v>
      </c>
      <c r="D48" t="str">
        <f ca="1"/>
        <v>Average</v>
      </c>
    </row>
    <row r="49" spans="2:4" x14ac:dyDescent="0.35">
      <c r="B49" t="str">
        <f ca="1"/>
        <v>Pratigya Rema</v>
      </c>
      <c r="C49">
        <f ca="1"/>
        <v>58100</v>
      </c>
      <c r="D49" t="str">
        <f ca="1"/>
        <v>Average</v>
      </c>
    </row>
    <row r="50" spans="2:4" x14ac:dyDescent="0.35">
      <c r="B50" t="str">
        <f ca="1"/>
        <v>Brien Boise</v>
      </c>
      <c r="C50">
        <f ca="1"/>
        <v>58100</v>
      </c>
      <c r="D50" t="str">
        <f ca="1"/>
        <v>Average</v>
      </c>
    </row>
    <row r="51" spans="2:4" x14ac:dyDescent="0.35">
      <c r="B51" t="str">
        <f ca="1"/>
        <v>Pragya Nilufar</v>
      </c>
      <c r="C51">
        <f ca="1"/>
        <v>53870</v>
      </c>
      <c r="D51" t="str">
        <f ca="1"/>
        <v>Average</v>
      </c>
    </row>
    <row r="52" spans="2:4" x14ac:dyDescent="0.35">
      <c r="B52" t="str">
        <f ca="1"/>
        <v>William Reeveley</v>
      </c>
      <c r="C52">
        <f ca="1"/>
        <v>53870</v>
      </c>
      <c r="D52" t="str">
        <f ca="1"/>
        <v>Average</v>
      </c>
    </row>
    <row r="53" spans="2:4" x14ac:dyDescent="0.35">
      <c r="B53" t="str">
        <f ca="1"/>
        <v>Amal Nimesh</v>
      </c>
      <c r="C53">
        <f ca="1"/>
        <v>48950</v>
      </c>
      <c r="D53" t="str">
        <f ca="1"/>
        <v>Average</v>
      </c>
    </row>
    <row r="54" spans="2:4" x14ac:dyDescent="0.35">
      <c r="B54" t="str">
        <f ca="1"/>
        <v>Gunar Cockshoot</v>
      </c>
      <c r="C54">
        <f ca="1"/>
        <v>48950</v>
      </c>
      <c r="D54" t="str">
        <f ca="1"/>
        <v>Average</v>
      </c>
    </row>
    <row r="55" spans="2:4" x14ac:dyDescent="0.35">
      <c r="B55" t="str">
        <f ca="1"/>
        <v>Yagna Sujeev</v>
      </c>
      <c r="C55">
        <f ca="1"/>
        <v>43840</v>
      </c>
      <c r="D55" t="str">
        <f ca="1"/>
        <v>Above average</v>
      </c>
    </row>
    <row r="56" spans="2:4" x14ac:dyDescent="0.35">
      <c r="B56" t="str">
        <f ca="1"/>
        <v>Kassi Jonson</v>
      </c>
      <c r="C56">
        <f ca="1"/>
        <v>43840</v>
      </c>
      <c r="D56" t="str">
        <f ca="1"/>
        <v>Above average</v>
      </c>
    </row>
    <row r="57" spans="2:4" x14ac:dyDescent="0.35">
      <c r="B57" t="str">
        <f ca="1"/>
        <v>Jagajeet Viraj</v>
      </c>
      <c r="C57">
        <f ca="1"/>
        <v>41980</v>
      </c>
      <c r="D57" t="str">
        <f ca="1"/>
        <v>Average</v>
      </c>
    </row>
    <row r="58" spans="2:4" x14ac:dyDescent="0.35">
      <c r="B58" t="str">
        <f ca="1"/>
        <v>Dotty Strutley</v>
      </c>
      <c r="C58">
        <f ca="1"/>
        <v>41980</v>
      </c>
      <c r="D58" t="str">
        <f ca="1"/>
        <v>Average</v>
      </c>
    </row>
    <row r="59" spans="2:4" x14ac:dyDescent="0.35">
      <c r="B59" t="str">
        <f ca="1"/>
        <v>Suchira Bhanupriya Tapti</v>
      </c>
      <c r="C59">
        <f ca="1"/>
        <v>34980</v>
      </c>
      <c r="D59" t="str">
        <f ca="1"/>
        <v>Average</v>
      </c>
    </row>
    <row r="60" spans="2:4" x14ac:dyDescent="0.35">
      <c r="B60" t="str">
        <f ca="1"/>
        <v>Niall Selesnick</v>
      </c>
      <c r="C60">
        <f ca="1"/>
        <v>34980</v>
      </c>
      <c r="D60" t="str">
        <f ca="1"/>
        <v>Average</v>
      </c>
    </row>
    <row r="61" spans="2:4" x14ac:dyDescent="0.35">
      <c r="B61" t="str">
        <f ca="1"/>
        <v>Shubhra Potla</v>
      </c>
      <c r="C61">
        <f ca="1"/>
        <v>33920</v>
      </c>
      <c r="D61" t="str">
        <f ca="1"/>
        <v>Average</v>
      </c>
    </row>
    <row r="62" spans="2:4" x14ac:dyDescent="0.35">
      <c r="B62" t="str">
        <f ca="1"/>
        <v>Gretchen Callow</v>
      </c>
      <c r="C62">
        <f ca="1"/>
        <v>33920</v>
      </c>
      <c r="D62" t="str">
        <f ca="1"/>
        <v>Average</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CF690-A094-47C5-AD16-5EF2B02FECE2}">
  <sheetPr>
    <tabColor rgb="FF3333FF"/>
  </sheetPr>
  <dimension ref="B2:D11"/>
  <sheetViews>
    <sheetView zoomScaleNormal="100" workbookViewId="0">
      <selection activeCell="F22" sqref="F22"/>
    </sheetView>
  </sheetViews>
  <sheetFormatPr defaultRowHeight="14.5" x14ac:dyDescent="0.35"/>
  <cols>
    <col min="2" max="2" width="16.1796875" bestFit="1" customWidth="1"/>
    <col min="3" max="3" width="15.26953125" bestFit="1" customWidth="1"/>
    <col min="4" max="4" width="7.26953125" bestFit="1" customWidth="1"/>
    <col min="5" max="5" width="10.7265625" bestFit="1" customWidth="1"/>
    <col min="6" max="6" width="11.81640625" bestFit="1" customWidth="1"/>
    <col min="7" max="7" width="15.26953125" bestFit="1" customWidth="1"/>
    <col min="8" max="8" width="18.36328125" bestFit="1" customWidth="1"/>
    <col min="9" max="9" width="18.1796875" bestFit="1" customWidth="1"/>
  </cols>
  <sheetData>
    <row r="2" spans="2:4" ht="18.5" x14ac:dyDescent="0.45">
      <c r="B2" s="17">
        <v>4</v>
      </c>
      <c r="C2" t="s">
        <v>225</v>
      </c>
    </row>
    <row r="6" spans="2:4" x14ac:dyDescent="0.35">
      <c r="C6" s="18" t="s">
        <v>226</v>
      </c>
    </row>
    <row r="7" spans="2:4" x14ac:dyDescent="0.35">
      <c r="B7" s="18" t="s">
        <v>230</v>
      </c>
      <c r="C7" t="s">
        <v>8</v>
      </c>
      <c r="D7" t="s">
        <v>15</v>
      </c>
    </row>
    <row r="8" spans="2:4" x14ac:dyDescent="0.35">
      <c r="B8" s="12" t="s">
        <v>228</v>
      </c>
      <c r="C8">
        <v>86</v>
      </c>
      <c r="D8">
        <v>89</v>
      </c>
    </row>
    <row r="9" spans="2:4" x14ac:dyDescent="0.35">
      <c r="B9" s="12" t="s">
        <v>229</v>
      </c>
      <c r="C9" s="19">
        <v>31.406976744186046</v>
      </c>
      <c r="D9" s="19">
        <v>29.393258426966291</v>
      </c>
    </row>
    <row r="10" spans="2:4" x14ac:dyDescent="0.35">
      <c r="B10" s="12" t="s">
        <v>231</v>
      </c>
      <c r="C10" s="20">
        <v>78284.186046511633</v>
      </c>
      <c r="D10" s="20">
        <v>74915.168539325838</v>
      </c>
    </row>
    <row r="11" spans="2:4" x14ac:dyDescent="0.35">
      <c r="B11" s="12" t="s">
        <v>232</v>
      </c>
      <c r="C11" s="19">
        <v>4.6572793883402355</v>
      </c>
      <c r="D11" s="19">
        <v>4.6481760812682777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C683D-8BB1-4927-9C11-7D287AB2A071}">
  <sheetPr>
    <tabColor rgb="FF3333FF"/>
  </sheetPr>
  <dimension ref="B2:C17"/>
  <sheetViews>
    <sheetView tabSelected="1" workbookViewId="0">
      <selection activeCell="I19" sqref="I19"/>
    </sheetView>
  </sheetViews>
  <sheetFormatPr defaultRowHeight="14.5" x14ac:dyDescent="0.35"/>
  <cols>
    <col min="2" max="2" width="20.08984375" bestFit="1" customWidth="1"/>
    <col min="3" max="3" width="12.26953125" bestFit="1" customWidth="1"/>
    <col min="4" max="91" width="4.81640625" bestFit="1" customWidth="1"/>
    <col min="92" max="92" width="10.7265625" bestFit="1" customWidth="1"/>
    <col min="93" max="184" width="28.36328125" bestFit="1" customWidth="1"/>
    <col min="185" max="185" width="10.7265625" bestFit="1" customWidth="1"/>
  </cols>
  <sheetData>
    <row r="2" spans="2:3" ht="18.5" x14ac:dyDescent="0.45">
      <c r="B2" s="17">
        <v>5</v>
      </c>
      <c r="C2" s="21" t="s">
        <v>234</v>
      </c>
    </row>
    <row r="6" spans="2:3" x14ac:dyDescent="0.35">
      <c r="B6" s="18" t="s">
        <v>235</v>
      </c>
      <c r="C6" s="20" t="s">
        <v>236</v>
      </c>
    </row>
    <row r="7" spans="2:3" x14ac:dyDescent="0.35">
      <c r="B7" s="12" t="s">
        <v>49</v>
      </c>
      <c r="C7" s="20">
        <v>3464</v>
      </c>
    </row>
    <row r="8" spans="2:3" x14ac:dyDescent="0.35">
      <c r="B8" s="12" t="s">
        <v>142</v>
      </c>
      <c r="C8" s="20">
        <v>3464</v>
      </c>
    </row>
    <row r="9" spans="2:3" x14ac:dyDescent="0.35">
      <c r="B9" s="12" t="s">
        <v>40</v>
      </c>
      <c r="C9" s="20">
        <v>3478</v>
      </c>
    </row>
    <row r="10" spans="2:3" x14ac:dyDescent="0.35">
      <c r="B10" s="12" t="s">
        <v>134</v>
      </c>
      <c r="C10" s="20">
        <v>3478</v>
      </c>
    </row>
    <row r="11" spans="2:3" x14ac:dyDescent="0.35">
      <c r="B11" s="12" t="s">
        <v>148</v>
      </c>
      <c r="C11" s="20">
        <v>3543</v>
      </c>
    </row>
    <row r="12" spans="2:3" x14ac:dyDescent="0.35">
      <c r="B12" s="12" t="s">
        <v>55</v>
      </c>
      <c r="C12" s="20">
        <v>3543</v>
      </c>
    </row>
    <row r="13" spans="2:3" x14ac:dyDescent="0.35">
      <c r="B13" s="12" t="s">
        <v>199</v>
      </c>
      <c r="C13" s="20">
        <v>3566</v>
      </c>
    </row>
    <row r="14" spans="2:3" x14ac:dyDescent="0.35">
      <c r="B14" s="12" t="s">
        <v>106</v>
      </c>
      <c r="C14" s="20">
        <v>3566</v>
      </c>
    </row>
    <row r="15" spans="2:3" x14ac:dyDescent="0.35">
      <c r="B15" s="12" t="s">
        <v>152</v>
      </c>
      <c r="C15" s="20">
        <v>3574</v>
      </c>
    </row>
    <row r="16" spans="2:3" x14ac:dyDescent="0.35">
      <c r="B16" s="12" t="s">
        <v>60</v>
      </c>
      <c r="C16" s="20">
        <v>3574</v>
      </c>
    </row>
    <row r="17" spans="2:3" x14ac:dyDescent="0.35">
      <c r="B17" s="12" t="s">
        <v>227</v>
      </c>
      <c r="C17" s="20">
        <v>35250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C4988-F21C-4269-9CFE-E0BDA1016BEB}">
  <sheetPr>
    <tabColor rgb="FF00B050"/>
  </sheetPr>
  <dimension ref="A1"/>
  <sheetViews>
    <sheetView zoomScale="90" zoomScaleNormal="90" workbookViewId="0">
      <selection activeCell="H25" sqref="H25"/>
    </sheetView>
  </sheetViews>
  <sheetFormatPr defaultRowHeight="14.5" x14ac:dyDescent="0.3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13AF-0045-488D-8665-7E22C3A95DFC}">
  <sheetPr>
    <tabColor rgb="FF00B050"/>
  </sheetPr>
  <dimension ref="B3:D9"/>
  <sheetViews>
    <sheetView workbookViewId="0">
      <selection activeCell="Q6" sqref="Q6"/>
    </sheetView>
  </sheetViews>
  <sheetFormatPr defaultRowHeight="14.5" x14ac:dyDescent="0.35"/>
  <cols>
    <col min="2" max="2" width="13.1796875" bestFit="1" customWidth="1"/>
    <col min="3" max="3" width="13.54296875" bestFit="1" customWidth="1"/>
    <col min="4" max="4" width="15.26953125" bestFit="1" customWidth="1"/>
  </cols>
  <sheetData>
    <row r="3" spans="2:4" x14ac:dyDescent="0.35">
      <c r="B3" s="18" t="s">
        <v>235</v>
      </c>
      <c r="C3" t="s">
        <v>228</v>
      </c>
      <c r="D3" s="20" t="s">
        <v>231</v>
      </c>
    </row>
    <row r="4" spans="2:4" x14ac:dyDescent="0.35">
      <c r="B4" s="12" t="s">
        <v>10</v>
      </c>
      <c r="C4">
        <v>4</v>
      </c>
      <c r="D4" s="20">
        <v>92080</v>
      </c>
    </row>
    <row r="5" spans="2:4" x14ac:dyDescent="0.35">
      <c r="B5" s="12" t="s">
        <v>13</v>
      </c>
      <c r="C5">
        <v>20</v>
      </c>
      <c r="D5" s="20">
        <v>75933</v>
      </c>
    </row>
    <row r="6" spans="2:4" x14ac:dyDescent="0.35">
      <c r="B6" s="12" t="s">
        <v>16</v>
      </c>
      <c r="C6">
        <v>137</v>
      </c>
      <c r="D6" s="20">
        <v>76798.759124087592</v>
      </c>
    </row>
    <row r="7" spans="2:4" x14ac:dyDescent="0.35">
      <c r="B7" s="12" t="s">
        <v>24</v>
      </c>
      <c r="C7">
        <v>16</v>
      </c>
      <c r="D7" s="20">
        <v>78115</v>
      </c>
    </row>
    <row r="8" spans="2:4" x14ac:dyDescent="0.35">
      <c r="B8" s="12" t="s">
        <v>42</v>
      </c>
      <c r="C8">
        <v>6</v>
      </c>
      <c r="D8" s="20">
        <v>77423.333333333328</v>
      </c>
    </row>
    <row r="9" spans="2:4" x14ac:dyDescent="0.35">
      <c r="B9" s="12" t="s">
        <v>227</v>
      </c>
      <c r="C9">
        <v>183</v>
      </c>
      <c r="D9" s="20">
        <v>77173.715846994543</v>
      </c>
    </row>
  </sheetData>
  <conditionalFormatting pivot="1" sqref="D4:D8">
    <cfRule type="dataBar" priority="1">
      <dataBar>
        <cfvo type="min"/>
        <cfvo type="max"/>
        <color rgb="FF638EC6"/>
      </dataBar>
      <extLst>
        <ext xmlns:x14="http://schemas.microsoft.com/office/spreadsheetml/2009/9/main" uri="{B025F937-C7B1-47D3-B67F-A62EFF666E3E}">
          <x14:id>{48D9D89F-4292-48DA-A377-1C99A34E8F19}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48D9D89F-4292-48DA-A377-1C99A34E8F19}">
            <x14:dataBar minLength="0" maxLength="100" gradient="0">
              <x14:cfvo type="autoMin"/>
              <x14:cfvo type="autoMax"/>
              <x14:negativeFillColor rgb="FFFF0000"/>
              <x14:axisColor rgb="FF000000"/>
            </x14:dataBar>
          </x14:cfRule>
          <xm:sqref>D4:D8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DD458-63AC-4750-9E23-98682362137A}">
  <dimension ref="B2:C6"/>
  <sheetViews>
    <sheetView workbookViewId="0">
      <selection activeCell="H21" sqref="H21"/>
    </sheetView>
  </sheetViews>
  <sheetFormatPr defaultRowHeight="14.5" x14ac:dyDescent="0.35"/>
  <cols>
    <col min="2" max="2" width="18.36328125" customWidth="1"/>
  </cols>
  <sheetData>
    <row r="2" spans="2:3" x14ac:dyDescent="0.35">
      <c r="B2" s="22" t="s">
        <v>10</v>
      </c>
      <c r="C2" s="23">
        <v>5</v>
      </c>
    </row>
    <row r="3" spans="2:3" x14ac:dyDescent="0.35">
      <c r="B3" s="24" t="s">
        <v>13</v>
      </c>
      <c r="C3" s="25">
        <v>4</v>
      </c>
    </row>
    <row r="4" spans="2:3" x14ac:dyDescent="0.35">
      <c r="B4" s="24" t="s">
        <v>16</v>
      </c>
      <c r="C4" s="25">
        <v>3</v>
      </c>
    </row>
    <row r="5" spans="2:3" x14ac:dyDescent="0.35">
      <c r="B5" s="24" t="s">
        <v>24</v>
      </c>
      <c r="C5" s="25">
        <v>2</v>
      </c>
    </row>
    <row r="6" spans="2:3" x14ac:dyDescent="0.35">
      <c r="B6" s="26" t="s">
        <v>42</v>
      </c>
      <c r="C6" s="27">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33E1B-7418-40D3-8122-47507584218E}">
  <sheetPr>
    <tabColor rgb="FF00B050"/>
  </sheetPr>
  <dimension ref="B2:S39"/>
  <sheetViews>
    <sheetView zoomScaleNormal="100" workbookViewId="0">
      <selection activeCell="W2" sqref="W2"/>
    </sheetView>
  </sheetViews>
  <sheetFormatPr defaultRowHeight="14.5" x14ac:dyDescent="0.35"/>
  <cols>
    <col min="2" max="2" width="12.36328125" bestFit="1" customWidth="1"/>
    <col min="3" max="3" width="13.54296875" bestFit="1" customWidth="1"/>
    <col min="17" max="17" width="10.6328125" style="31" bestFit="1" customWidth="1"/>
    <col min="18" max="18" width="12.1796875" customWidth="1"/>
    <col min="19" max="19" width="15.36328125" customWidth="1"/>
  </cols>
  <sheetData>
    <row r="2" spans="2:19" x14ac:dyDescent="0.35">
      <c r="B2" s="18" t="s">
        <v>235</v>
      </c>
      <c r="C2" t="s">
        <v>228</v>
      </c>
    </row>
    <row r="3" spans="2:19" x14ac:dyDescent="0.35">
      <c r="B3" s="12" t="s">
        <v>238</v>
      </c>
      <c r="Q3" s="31" t="s">
        <v>254</v>
      </c>
      <c r="R3" t="s">
        <v>255</v>
      </c>
      <c r="S3" t="s">
        <v>256</v>
      </c>
    </row>
    <row r="4" spans="2:19" x14ac:dyDescent="0.35">
      <c r="B4" s="30" t="s">
        <v>239</v>
      </c>
      <c r="C4">
        <v>3</v>
      </c>
      <c r="P4" cm="1">
        <f t="array" ref="P4:P39">_xlfn.SEQUENCE(36)</f>
        <v>1</v>
      </c>
      <c r="Q4" s="31" cm="1">
        <f t="array" ref="Q4:Q39">EDATE(DATE(2020,4,1),_xlfn.ANCHORARRAY(P4)+0)</f>
        <v>43952</v>
      </c>
      <c r="R4">
        <f>COUNTIFS(staff[Date Joined],"&gt;="&amp;Q4,staff[Date Joined],"&lt;="&amp;EOMONTH(Q4,0))</f>
        <v>3</v>
      </c>
      <c r="S4">
        <f>SUM($R$4:R4)</f>
        <v>3</v>
      </c>
    </row>
    <row r="5" spans="2:19" x14ac:dyDescent="0.35">
      <c r="B5" s="30" t="s">
        <v>240</v>
      </c>
      <c r="C5">
        <v>4</v>
      </c>
      <c r="P5">
        <v>2</v>
      </c>
      <c r="Q5" s="31">
        <v>43983</v>
      </c>
      <c r="R5">
        <f>COUNTIFS(staff[Date Joined],"&gt;="&amp;Q5,staff[Date Joined],"&lt;="&amp;EOMONTH(Q5,0))</f>
        <v>1</v>
      </c>
      <c r="S5">
        <f>SUM($R$4:R5)</f>
        <v>4</v>
      </c>
    </row>
    <row r="6" spans="2:19" x14ac:dyDescent="0.35">
      <c r="B6" s="30" t="s">
        <v>241</v>
      </c>
      <c r="C6">
        <v>9</v>
      </c>
      <c r="P6">
        <v>3</v>
      </c>
      <c r="Q6" s="31">
        <v>44013</v>
      </c>
      <c r="R6">
        <f>COUNTIFS(staff[Date Joined],"&gt;="&amp;Q6,staff[Date Joined],"&lt;="&amp;EOMONTH(Q6,0))</f>
        <v>5</v>
      </c>
      <c r="S6">
        <f>SUM($R$4:R6)</f>
        <v>9</v>
      </c>
    </row>
    <row r="7" spans="2:19" x14ac:dyDescent="0.35">
      <c r="B7" s="30" t="s">
        <v>242</v>
      </c>
      <c r="C7">
        <v>12</v>
      </c>
      <c r="P7">
        <v>4</v>
      </c>
      <c r="Q7" s="31">
        <v>44044</v>
      </c>
      <c r="R7">
        <f>COUNTIFS(staff[Date Joined],"&gt;="&amp;Q7,staff[Date Joined],"&lt;="&amp;EOMONTH(Q7,0))</f>
        <v>3</v>
      </c>
      <c r="S7">
        <f>SUM($R$4:R7)</f>
        <v>12</v>
      </c>
    </row>
    <row r="8" spans="2:19" x14ac:dyDescent="0.35">
      <c r="B8" s="30" t="s">
        <v>243</v>
      </c>
      <c r="C8">
        <v>18</v>
      </c>
      <c r="P8">
        <v>5</v>
      </c>
      <c r="Q8" s="31">
        <v>44075</v>
      </c>
      <c r="R8">
        <f>COUNTIFS(staff[Date Joined],"&gt;="&amp;Q8,staff[Date Joined],"&lt;="&amp;EOMONTH(Q8,0))</f>
        <v>6</v>
      </c>
      <c r="S8">
        <f>SUM($R$4:R8)</f>
        <v>18</v>
      </c>
    </row>
    <row r="9" spans="2:19" x14ac:dyDescent="0.35">
      <c r="B9" s="30" t="s">
        <v>244</v>
      </c>
      <c r="C9">
        <v>24</v>
      </c>
      <c r="P9">
        <v>6</v>
      </c>
      <c r="Q9" s="31">
        <v>44105</v>
      </c>
      <c r="R9">
        <f>COUNTIFS(staff[Date Joined],"&gt;="&amp;Q9,staff[Date Joined],"&lt;="&amp;EOMONTH(Q9,0))</f>
        <v>6</v>
      </c>
      <c r="S9">
        <f>SUM($R$4:R9)</f>
        <v>24</v>
      </c>
    </row>
    <row r="10" spans="2:19" x14ac:dyDescent="0.35">
      <c r="B10" s="30" t="s">
        <v>245</v>
      </c>
      <c r="C10">
        <v>30</v>
      </c>
      <c r="P10">
        <v>7</v>
      </c>
      <c r="Q10" s="31">
        <v>44136</v>
      </c>
      <c r="R10">
        <f>COUNTIFS(staff[Date Joined],"&gt;="&amp;Q10,staff[Date Joined],"&lt;="&amp;EOMONTH(Q10,0))</f>
        <v>6</v>
      </c>
      <c r="S10">
        <f>SUM($R$4:R10)</f>
        <v>30</v>
      </c>
    </row>
    <row r="11" spans="2:19" x14ac:dyDescent="0.35">
      <c r="B11" s="30" t="s">
        <v>246</v>
      </c>
      <c r="C11">
        <v>37</v>
      </c>
      <c r="P11">
        <v>8</v>
      </c>
      <c r="Q11" s="31">
        <v>44166</v>
      </c>
      <c r="R11">
        <f>COUNTIFS(staff[Date Joined],"&gt;="&amp;Q11,staff[Date Joined],"&lt;="&amp;EOMONTH(Q11,0))</f>
        <v>7</v>
      </c>
      <c r="S11">
        <f>SUM($R$4:R11)</f>
        <v>37</v>
      </c>
    </row>
    <row r="12" spans="2:19" x14ac:dyDescent="0.35">
      <c r="B12" s="12" t="s">
        <v>247</v>
      </c>
      <c r="P12">
        <v>9</v>
      </c>
      <c r="Q12" s="31">
        <v>44197</v>
      </c>
      <c r="R12">
        <f>COUNTIFS(staff[Date Joined],"&gt;="&amp;Q12,staff[Date Joined],"&lt;="&amp;EOMONTH(Q12,0))</f>
        <v>6</v>
      </c>
      <c r="S12">
        <f>SUM($R$4:R12)</f>
        <v>43</v>
      </c>
    </row>
    <row r="13" spans="2:19" x14ac:dyDescent="0.35">
      <c r="B13" s="30" t="s">
        <v>248</v>
      </c>
      <c r="C13">
        <v>6</v>
      </c>
      <c r="P13">
        <v>10</v>
      </c>
      <c r="Q13" s="31">
        <v>44228</v>
      </c>
      <c r="R13">
        <f>COUNTIFS(staff[Date Joined],"&gt;="&amp;Q13,staff[Date Joined],"&lt;="&amp;EOMONTH(Q13,0))</f>
        <v>4</v>
      </c>
      <c r="S13">
        <f>SUM($R$4:R13)</f>
        <v>47</v>
      </c>
    </row>
    <row r="14" spans="2:19" x14ac:dyDescent="0.35">
      <c r="B14" s="30" t="s">
        <v>249</v>
      </c>
      <c r="C14">
        <v>10</v>
      </c>
      <c r="P14">
        <v>11</v>
      </c>
      <c r="Q14" s="31">
        <v>44256</v>
      </c>
      <c r="R14">
        <f>COUNTIFS(staff[Date Joined],"&gt;="&amp;Q14,staff[Date Joined],"&lt;="&amp;EOMONTH(Q14,0))</f>
        <v>9</v>
      </c>
      <c r="S14">
        <f>SUM($R$4:R14)</f>
        <v>56</v>
      </c>
    </row>
    <row r="15" spans="2:19" x14ac:dyDescent="0.35">
      <c r="B15" s="30" t="s">
        <v>250</v>
      </c>
      <c r="C15">
        <v>19</v>
      </c>
      <c r="P15">
        <v>12</v>
      </c>
      <c r="Q15" s="31">
        <v>44287</v>
      </c>
      <c r="R15">
        <f>COUNTIFS(staff[Date Joined],"&gt;="&amp;Q15,staff[Date Joined],"&lt;="&amp;EOMONTH(Q15,0))</f>
        <v>5</v>
      </c>
      <c r="S15">
        <f>SUM($R$4:R15)</f>
        <v>61</v>
      </c>
    </row>
    <row r="16" spans="2:19" x14ac:dyDescent="0.35">
      <c r="B16" s="30" t="s">
        <v>251</v>
      </c>
      <c r="C16">
        <v>24</v>
      </c>
      <c r="P16">
        <v>13</v>
      </c>
      <c r="Q16" s="31">
        <v>44317</v>
      </c>
      <c r="R16">
        <f>COUNTIFS(staff[Date Joined],"&gt;="&amp;Q16,staff[Date Joined],"&lt;="&amp;EOMONTH(Q16,0))</f>
        <v>10</v>
      </c>
      <c r="S16">
        <f>SUM($R$4:R16)</f>
        <v>71</v>
      </c>
    </row>
    <row r="17" spans="2:19" x14ac:dyDescent="0.35">
      <c r="B17" s="30" t="s">
        <v>239</v>
      </c>
      <c r="C17">
        <v>34</v>
      </c>
      <c r="P17">
        <v>14</v>
      </c>
      <c r="Q17" s="31">
        <v>44348</v>
      </c>
      <c r="R17">
        <f>COUNTIFS(staff[Date Joined],"&gt;="&amp;Q17,staff[Date Joined],"&lt;="&amp;EOMONTH(Q17,0))</f>
        <v>6</v>
      </c>
      <c r="S17">
        <f>SUM($R$4:R17)</f>
        <v>77</v>
      </c>
    </row>
    <row r="18" spans="2:19" x14ac:dyDescent="0.35">
      <c r="B18" s="30" t="s">
        <v>240</v>
      </c>
      <c r="C18">
        <v>40</v>
      </c>
      <c r="P18">
        <v>15</v>
      </c>
      <c r="Q18" s="31">
        <v>44378</v>
      </c>
      <c r="R18">
        <f>COUNTIFS(staff[Date Joined],"&gt;="&amp;Q18,staff[Date Joined],"&lt;="&amp;EOMONTH(Q18,0))</f>
        <v>13</v>
      </c>
      <c r="S18">
        <f>SUM($R$4:R18)</f>
        <v>90</v>
      </c>
    </row>
    <row r="19" spans="2:19" x14ac:dyDescent="0.35">
      <c r="B19" s="30" t="s">
        <v>241</v>
      </c>
      <c r="C19">
        <v>53</v>
      </c>
      <c r="P19">
        <v>16</v>
      </c>
      <c r="Q19" s="31">
        <v>44409</v>
      </c>
      <c r="R19">
        <f>COUNTIFS(staff[Date Joined],"&gt;="&amp;Q19,staff[Date Joined],"&lt;="&amp;EOMONTH(Q19,0))</f>
        <v>4</v>
      </c>
      <c r="S19">
        <f>SUM($R$4:R19)</f>
        <v>94</v>
      </c>
    </row>
    <row r="20" spans="2:19" x14ac:dyDescent="0.35">
      <c r="B20" s="30" t="s">
        <v>242</v>
      </c>
      <c r="C20">
        <v>57</v>
      </c>
      <c r="P20">
        <v>17</v>
      </c>
      <c r="Q20" s="31">
        <v>44440</v>
      </c>
      <c r="R20">
        <f>COUNTIFS(staff[Date Joined],"&gt;="&amp;Q20,staff[Date Joined],"&lt;="&amp;EOMONTH(Q20,0))</f>
        <v>11</v>
      </c>
      <c r="S20">
        <f>SUM($R$4:R20)</f>
        <v>105</v>
      </c>
    </row>
    <row r="21" spans="2:19" x14ac:dyDescent="0.35">
      <c r="B21" s="30" t="s">
        <v>243</v>
      </c>
      <c r="C21">
        <v>68</v>
      </c>
      <c r="P21">
        <v>18</v>
      </c>
      <c r="Q21" s="31">
        <v>44470</v>
      </c>
      <c r="R21">
        <f>COUNTIFS(staff[Date Joined],"&gt;="&amp;Q21,staff[Date Joined],"&lt;="&amp;EOMONTH(Q21,0))</f>
        <v>3</v>
      </c>
      <c r="S21">
        <f>SUM($R$4:R21)</f>
        <v>108</v>
      </c>
    </row>
    <row r="22" spans="2:19" x14ac:dyDescent="0.35">
      <c r="B22" s="30" t="s">
        <v>244</v>
      </c>
      <c r="C22">
        <v>71</v>
      </c>
      <c r="P22">
        <v>19</v>
      </c>
      <c r="Q22" s="31">
        <v>44501</v>
      </c>
      <c r="R22">
        <f>COUNTIFS(staff[Date Joined],"&gt;="&amp;Q22,staff[Date Joined],"&lt;="&amp;EOMONTH(Q22,0))</f>
        <v>4</v>
      </c>
      <c r="S22">
        <f>SUM($R$4:R22)</f>
        <v>112</v>
      </c>
    </row>
    <row r="23" spans="2:19" x14ac:dyDescent="0.35">
      <c r="B23" s="30" t="s">
        <v>245</v>
      </c>
      <c r="C23">
        <v>75</v>
      </c>
      <c r="P23">
        <v>20</v>
      </c>
      <c r="Q23" s="31">
        <v>44531</v>
      </c>
      <c r="R23">
        <f>COUNTIFS(staff[Date Joined],"&gt;="&amp;Q23,staff[Date Joined],"&lt;="&amp;EOMONTH(Q23,0))</f>
        <v>7</v>
      </c>
      <c r="S23">
        <f>SUM($R$4:R23)</f>
        <v>119</v>
      </c>
    </row>
    <row r="24" spans="2:19" x14ac:dyDescent="0.35">
      <c r="B24" s="30" t="s">
        <v>246</v>
      </c>
      <c r="C24">
        <v>82</v>
      </c>
      <c r="P24">
        <v>21</v>
      </c>
      <c r="Q24" s="31">
        <v>44562</v>
      </c>
      <c r="R24">
        <f>COUNTIFS(staff[Date Joined],"&gt;="&amp;Q24,staff[Date Joined],"&lt;="&amp;EOMONTH(Q24,0))</f>
        <v>3</v>
      </c>
      <c r="S24">
        <f>SUM($R$4:R24)</f>
        <v>122</v>
      </c>
    </row>
    <row r="25" spans="2:19" x14ac:dyDescent="0.35">
      <c r="B25" s="12" t="s">
        <v>252</v>
      </c>
      <c r="P25">
        <v>22</v>
      </c>
      <c r="Q25" s="31">
        <v>44593</v>
      </c>
      <c r="R25">
        <f>COUNTIFS(staff[Date Joined],"&gt;="&amp;Q25,staff[Date Joined],"&lt;="&amp;EOMONTH(Q25,0))</f>
        <v>10</v>
      </c>
      <c r="S25">
        <f>SUM($R$4:R25)</f>
        <v>132</v>
      </c>
    </row>
    <row r="26" spans="2:19" x14ac:dyDescent="0.35">
      <c r="B26" s="30" t="s">
        <v>248</v>
      </c>
      <c r="C26">
        <v>3</v>
      </c>
      <c r="P26">
        <v>23</v>
      </c>
      <c r="Q26" s="31">
        <v>44621</v>
      </c>
      <c r="R26">
        <f>COUNTIFS(staff[Date Joined],"&gt;="&amp;Q26,staff[Date Joined],"&lt;="&amp;EOMONTH(Q26,0))</f>
        <v>9</v>
      </c>
      <c r="S26">
        <f>SUM($R$4:R26)</f>
        <v>141</v>
      </c>
    </row>
    <row r="27" spans="2:19" x14ac:dyDescent="0.35">
      <c r="B27" s="30" t="s">
        <v>249</v>
      </c>
      <c r="C27">
        <v>13</v>
      </c>
      <c r="P27">
        <v>24</v>
      </c>
      <c r="Q27" s="31">
        <v>44652</v>
      </c>
      <c r="R27">
        <f>COUNTIFS(staff[Date Joined],"&gt;="&amp;Q27,staff[Date Joined],"&lt;="&amp;EOMONTH(Q27,0))</f>
        <v>9</v>
      </c>
      <c r="S27">
        <f>SUM($R$4:R27)</f>
        <v>150</v>
      </c>
    </row>
    <row r="28" spans="2:19" x14ac:dyDescent="0.35">
      <c r="B28" s="30" t="s">
        <v>250</v>
      </c>
      <c r="C28">
        <v>22</v>
      </c>
      <c r="P28">
        <v>25</v>
      </c>
      <c r="Q28" s="31">
        <v>44682</v>
      </c>
      <c r="R28">
        <f>COUNTIFS(staff[Date Joined],"&gt;="&amp;Q28,staff[Date Joined],"&lt;="&amp;EOMONTH(Q28,0))</f>
        <v>9</v>
      </c>
      <c r="S28">
        <f>SUM($R$4:R28)</f>
        <v>159</v>
      </c>
    </row>
    <row r="29" spans="2:19" x14ac:dyDescent="0.35">
      <c r="B29" s="30" t="s">
        <v>251</v>
      </c>
      <c r="C29">
        <v>31</v>
      </c>
      <c r="P29">
        <v>26</v>
      </c>
      <c r="Q29" s="31">
        <v>44713</v>
      </c>
      <c r="R29">
        <f>COUNTIFS(staff[Date Joined],"&gt;="&amp;Q29,staff[Date Joined],"&lt;="&amp;EOMONTH(Q29,0))</f>
        <v>7</v>
      </c>
      <c r="S29">
        <f>SUM($R$4:R29)</f>
        <v>166</v>
      </c>
    </row>
    <row r="30" spans="2:19" x14ac:dyDescent="0.35">
      <c r="B30" s="30" t="s">
        <v>239</v>
      </c>
      <c r="C30">
        <v>40</v>
      </c>
      <c r="P30">
        <v>27</v>
      </c>
      <c r="Q30" s="31">
        <v>44743</v>
      </c>
      <c r="R30">
        <f>COUNTIFS(staff[Date Joined],"&gt;="&amp;Q30,staff[Date Joined],"&lt;="&amp;EOMONTH(Q30,0))</f>
        <v>5</v>
      </c>
      <c r="S30">
        <f>SUM($R$4:R30)</f>
        <v>171</v>
      </c>
    </row>
    <row r="31" spans="2:19" x14ac:dyDescent="0.35">
      <c r="B31" s="30" t="s">
        <v>240</v>
      </c>
      <c r="C31">
        <v>47</v>
      </c>
      <c r="P31">
        <v>28</v>
      </c>
      <c r="Q31" s="31">
        <v>44774</v>
      </c>
      <c r="R31">
        <f>COUNTIFS(staff[Date Joined],"&gt;="&amp;Q31,staff[Date Joined],"&lt;="&amp;EOMONTH(Q31,0))</f>
        <v>5</v>
      </c>
      <c r="S31">
        <f>SUM($R$4:R31)</f>
        <v>176</v>
      </c>
    </row>
    <row r="32" spans="2:19" x14ac:dyDescent="0.35">
      <c r="B32" s="30" t="s">
        <v>241</v>
      </c>
      <c r="C32">
        <v>52</v>
      </c>
      <c r="P32">
        <v>29</v>
      </c>
      <c r="Q32" s="31">
        <v>44805</v>
      </c>
      <c r="R32">
        <f>COUNTIFS(staff[Date Joined],"&gt;="&amp;Q32,staff[Date Joined],"&lt;="&amp;EOMONTH(Q32,0))</f>
        <v>2</v>
      </c>
      <c r="S32">
        <f>SUM($R$4:R32)</f>
        <v>178</v>
      </c>
    </row>
    <row r="33" spans="2:19" x14ac:dyDescent="0.35">
      <c r="B33" s="30" t="s">
        <v>242</v>
      </c>
      <c r="C33">
        <v>57</v>
      </c>
      <c r="P33">
        <v>30</v>
      </c>
      <c r="Q33" s="31">
        <v>44835</v>
      </c>
      <c r="R33">
        <f>COUNTIFS(staff[Date Joined],"&gt;="&amp;Q33,staff[Date Joined],"&lt;="&amp;EOMONTH(Q33,0))</f>
        <v>3</v>
      </c>
      <c r="S33">
        <f>SUM($R$4:R33)</f>
        <v>181</v>
      </c>
    </row>
    <row r="34" spans="2:19" x14ac:dyDescent="0.35">
      <c r="B34" s="30" t="s">
        <v>243</v>
      </c>
      <c r="C34">
        <v>59</v>
      </c>
      <c r="P34">
        <v>31</v>
      </c>
      <c r="Q34" s="31">
        <v>44866</v>
      </c>
      <c r="R34">
        <f>COUNTIFS(staff[Date Joined],"&gt;="&amp;Q34,staff[Date Joined],"&lt;="&amp;EOMONTH(Q34,0))</f>
        <v>0</v>
      </c>
      <c r="S34">
        <f>SUM($R$4:R34)</f>
        <v>181</v>
      </c>
    </row>
    <row r="35" spans="2:19" x14ac:dyDescent="0.35">
      <c r="B35" s="30" t="s">
        <v>244</v>
      </c>
      <c r="C35">
        <v>62</v>
      </c>
      <c r="P35">
        <v>32</v>
      </c>
      <c r="Q35" s="31">
        <v>44896</v>
      </c>
      <c r="R35">
        <f>COUNTIFS(staff[Date Joined],"&gt;="&amp;Q35,staff[Date Joined],"&lt;="&amp;EOMONTH(Q35,0))</f>
        <v>0</v>
      </c>
      <c r="S35">
        <f>SUM($R$4:R35)</f>
        <v>181</v>
      </c>
    </row>
    <row r="36" spans="2:19" x14ac:dyDescent="0.35">
      <c r="B36" s="12" t="s">
        <v>253</v>
      </c>
      <c r="P36">
        <v>33</v>
      </c>
      <c r="Q36" s="31">
        <v>44927</v>
      </c>
      <c r="R36">
        <f>COUNTIFS(staff[Date Joined],"&gt;="&amp;Q36,staff[Date Joined],"&lt;="&amp;EOMONTH(Q36,0))</f>
        <v>0</v>
      </c>
      <c r="S36">
        <f>SUM($R$4:R36)</f>
        <v>181</v>
      </c>
    </row>
    <row r="37" spans="2:19" x14ac:dyDescent="0.35">
      <c r="B37" s="30" t="s">
        <v>249</v>
      </c>
      <c r="C37">
        <v>1</v>
      </c>
      <c r="P37">
        <v>34</v>
      </c>
      <c r="Q37" s="31">
        <v>44958</v>
      </c>
      <c r="R37">
        <f>COUNTIFS(staff[Date Joined],"&gt;="&amp;Q37,staff[Date Joined],"&lt;="&amp;EOMONTH(Q37,0))</f>
        <v>1</v>
      </c>
      <c r="S37">
        <f>SUM($R$4:R37)</f>
        <v>182</v>
      </c>
    </row>
    <row r="38" spans="2:19" x14ac:dyDescent="0.35">
      <c r="B38" s="30" t="s">
        <v>251</v>
      </c>
      <c r="C38">
        <v>2</v>
      </c>
      <c r="P38">
        <v>35</v>
      </c>
      <c r="Q38" s="31">
        <v>44986</v>
      </c>
      <c r="R38">
        <f>COUNTIFS(staff[Date Joined],"&gt;="&amp;Q38,staff[Date Joined],"&lt;="&amp;EOMONTH(Q38,0))</f>
        <v>0</v>
      </c>
      <c r="S38">
        <f>SUM($R$4:R38)</f>
        <v>182</v>
      </c>
    </row>
    <row r="39" spans="2:19" x14ac:dyDescent="0.35">
      <c r="B39" s="12" t="s">
        <v>227</v>
      </c>
      <c r="P39">
        <v>36</v>
      </c>
      <c r="Q39" s="31">
        <v>45017</v>
      </c>
      <c r="R39">
        <f>COUNTIFS(staff[Date Joined],"&gt;="&amp;Q39,staff[Date Joined],"&lt;="&amp;EOMONTH(Q39,0))</f>
        <v>1</v>
      </c>
      <c r="S39">
        <f>SUM($R$4:R39)</f>
        <v>183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5B510-F23A-4C08-9D52-97E28AAD4005}">
  <sheetPr>
    <tabColor rgb="FFE709D2"/>
  </sheetPr>
  <dimension ref="C2:N24"/>
  <sheetViews>
    <sheetView showGridLines="0" zoomScale="60" zoomScaleNormal="100" workbookViewId="0">
      <selection activeCell="T16" sqref="T16"/>
    </sheetView>
  </sheetViews>
  <sheetFormatPr defaultRowHeight="14.5" x14ac:dyDescent="0.35"/>
  <cols>
    <col min="3" max="3" width="19.08984375" customWidth="1"/>
    <col min="4" max="4" width="1.54296875" customWidth="1"/>
    <col min="5" max="5" width="19.08984375" customWidth="1"/>
    <col min="6" max="6" width="1.26953125" customWidth="1"/>
    <col min="7" max="7" width="19.08984375" customWidth="1"/>
    <col min="8" max="8" width="11" customWidth="1"/>
    <col min="9" max="9" width="10.26953125" customWidth="1"/>
    <col min="10" max="10" width="19.08984375" customWidth="1"/>
    <col min="11" max="11" width="1.54296875" customWidth="1"/>
    <col min="12" max="12" width="19.08984375" customWidth="1"/>
    <col min="13" max="13" width="1.26953125" customWidth="1"/>
    <col min="14" max="14" width="19.08984375" customWidth="1"/>
  </cols>
  <sheetData>
    <row r="2" spans="3:14" ht="53.5" customHeight="1" x14ac:dyDescent="0.35">
      <c r="C2" s="45" t="s">
        <v>259</v>
      </c>
      <c r="D2" s="45"/>
      <c r="E2" s="45"/>
      <c r="F2" s="45"/>
      <c r="G2" s="45"/>
      <c r="J2" s="45" t="s">
        <v>206</v>
      </c>
      <c r="K2" s="45"/>
      <c r="L2" s="45"/>
      <c r="M2" s="45"/>
      <c r="N2" s="45"/>
    </row>
    <row r="3" spans="3:14" ht="101" customHeight="1" x14ac:dyDescent="0.35">
      <c r="C3" s="37">
        <f>COUNTIFS(staff[Country],"NZ")</f>
        <v>91</v>
      </c>
      <c r="E3" s="38">
        <f>COUNTIFS(staff[Country],"NZ",staff[Gender],"Female")/C3</f>
        <v>0.47252747252747251</v>
      </c>
      <c r="G3" s="39">
        <f>AVERAGEIFS(staff[Salary],staff[Country],"NZ")</f>
        <v>76978.791208791212</v>
      </c>
      <c r="J3" s="41">
        <f>COUNTIFS(staff[Country],"India")</f>
        <v>92</v>
      </c>
      <c r="K3" s="40"/>
      <c r="L3" s="42">
        <f>COUNTIFS(staff[Country],"India",staff[Gender],"Female")/J3</f>
        <v>0.46739130434782611</v>
      </c>
      <c r="M3" s="40"/>
      <c r="N3" s="43">
        <f>AVERAGEIFS(staff[Salary],staff[Country],"India")</f>
        <v>77366.521739130432</v>
      </c>
    </row>
    <row r="4" spans="3:14" x14ac:dyDescent="0.35">
      <c r="H4" t="s">
        <v>257</v>
      </c>
    </row>
    <row r="6" spans="3:14" ht="37" customHeight="1" x14ac:dyDescent="0.35">
      <c r="C6" s="44" t="s">
        <v>258</v>
      </c>
      <c r="D6" s="44"/>
      <c r="E6" s="44"/>
      <c r="F6" s="44"/>
      <c r="G6" s="44"/>
      <c r="H6" s="44"/>
      <c r="I6" s="44"/>
      <c r="J6" s="44"/>
      <c r="K6" s="44"/>
      <c r="L6" s="44"/>
      <c r="M6" s="44"/>
      <c r="N6" s="44"/>
    </row>
    <row r="9" spans="3:14" x14ac:dyDescent="0.35">
      <c r="C9" s="32"/>
      <c r="D9" s="33"/>
      <c r="E9" s="33"/>
      <c r="F9" s="33"/>
      <c r="G9" s="23"/>
      <c r="J9" s="32"/>
      <c r="K9" s="33"/>
      <c r="L9" s="33"/>
      <c r="M9" s="33"/>
      <c r="N9" s="23"/>
    </row>
    <row r="10" spans="3:14" x14ac:dyDescent="0.35">
      <c r="C10" s="34"/>
      <c r="G10" s="25"/>
      <c r="J10" s="34"/>
      <c r="N10" s="25"/>
    </row>
    <row r="11" spans="3:14" x14ac:dyDescent="0.35">
      <c r="C11" s="34"/>
      <c r="G11" s="25"/>
      <c r="J11" s="34"/>
      <c r="N11" s="25"/>
    </row>
    <row r="12" spans="3:14" x14ac:dyDescent="0.35">
      <c r="C12" s="34"/>
      <c r="G12" s="25"/>
      <c r="J12" s="34"/>
      <c r="N12" s="25"/>
    </row>
    <row r="13" spans="3:14" x14ac:dyDescent="0.35">
      <c r="C13" s="34"/>
      <c r="G13" s="25"/>
      <c r="J13" s="34"/>
      <c r="N13" s="25"/>
    </row>
    <row r="14" spans="3:14" x14ac:dyDescent="0.35">
      <c r="C14" s="34"/>
      <c r="G14" s="25"/>
      <c r="J14" s="34"/>
      <c r="N14" s="25"/>
    </row>
    <row r="15" spans="3:14" x14ac:dyDescent="0.35">
      <c r="C15" s="34"/>
      <c r="G15" s="25"/>
      <c r="J15" s="34"/>
      <c r="N15" s="25"/>
    </row>
    <row r="16" spans="3:14" x14ac:dyDescent="0.35">
      <c r="C16" s="34"/>
      <c r="G16" s="25"/>
      <c r="J16" s="34"/>
      <c r="N16" s="25"/>
    </row>
    <row r="17" spans="3:14" x14ac:dyDescent="0.35">
      <c r="C17" s="34"/>
      <c r="G17" s="25"/>
      <c r="J17" s="34"/>
      <c r="N17" s="25"/>
    </row>
    <row r="18" spans="3:14" x14ac:dyDescent="0.35">
      <c r="C18" s="34"/>
      <c r="G18" s="25"/>
      <c r="J18" s="34"/>
      <c r="N18" s="25"/>
    </row>
    <row r="19" spans="3:14" x14ac:dyDescent="0.35">
      <c r="C19" s="34"/>
      <c r="G19" s="25"/>
      <c r="J19" s="34"/>
      <c r="N19" s="25"/>
    </row>
    <row r="20" spans="3:14" x14ac:dyDescent="0.35">
      <c r="C20" s="34"/>
      <c r="G20" s="25"/>
      <c r="J20" s="34"/>
      <c r="N20" s="25"/>
    </row>
    <row r="21" spans="3:14" x14ac:dyDescent="0.35">
      <c r="C21" s="34"/>
      <c r="G21" s="25"/>
      <c r="J21" s="34"/>
      <c r="N21" s="25"/>
    </row>
    <row r="22" spans="3:14" x14ac:dyDescent="0.35">
      <c r="C22" s="34"/>
      <c r="G22" s="25"/>
      <c r="J22" s="34"/>
      <c r="N22" s="25"/>
    </row>
    <row r="23" spans="3:14" x14ac:dyDescent="0.35">
      <c r="C23" s="34"/>
      <c r="G23" s="25"/>
      <c r="J23" s="34"/>
      <c r="N23" s="25"/>
    </row>
    <row r="24" spans="3:14" x14ac:dyDescent="0.35">
      <c r="C24" s="35"/>
      <c r="D24" s="36"/>
      <c r="E24" s="36"/>
      <c r="F24" s="36"/>
      <c r="G24" s="27"/>
      <c r="J24" s="35"/>
      <c r="K24" s="36"/>
      <c r="L24" s="36"/>
      <c r="M24" s="36"/>
      <c r="N24" s="27"/>
    </row>
  </sheetData>
  <mergeCells count="3">
    <mergeCell ref="C6:N6"/>
    <mergeCell ref="C2:G2"/>
    <mergeCell ref="J2:N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D4EAF-CC9B-4A46-BEF7-B7758C870D2B}">
  <dimension ref="B1:G9"/>
  <sheetViews>
    <sheetView zoomScale="64" workbookViewId="0">
      <selection activeCell="U28" sqref="U28"/>
    </sheetView>
  </sheetViews>
  <sheetFormatPr defaultRowHeight="14.5" x14ac:dyDescent="0.35"/>
  <cols>
    <col min="2" max="2" width="12.36328125" bestFit="1" customWidth="1"/>
    <col min="3" max="3" width="13.54296875" bestFit="1" customWidth="1"/>
    <col min="6" max="6" width="12.36328125" bestFit="1" customWidth="1"/>
    <col min="7" max="7" width="13.54296875" bestFit="1" customWidth="1"/>
  </cols>
  <sheetData>
    <row r="1" spans="2:7" x14ac:dyDescent="0.35">
      <c r="B1" s="18" t="s">
        <v>205</v>
      </c>
      <c r="C1" t="s" vm="1">
        <v>206</v>
      </c>
      <c r="F1" s="18" t="s">
        <v>205</v>
      </c>
      <c r="G1" t="s" vm="2">
        <v>208</v>
      </c>
    </row>
    <row r="3" spans="2:7" x14ac:dyDescent="0.35">
      <c r="B3" s="18" t="s">
        <v>235</v>
      </c>
      <c r="C3" t="s">
        <v>228</v>
      </c>
      <c r="F3" s="18" t="s">
        <v>235</v>
      </c>
      <c r="G3" t="s">
        <v>228</v>
      </c>
    </row>
    <row r="4" spans="2:7" x14ac:dyDescent="0.35">
      <c r="B4" s="12" t="s">
        <v>9</v>
      </c>
      <c r="C4">
        <v>28</v>
      </c>
      <c r="F4" s="12" t="s">
        <v>12</v>
      </c>
      <c r="G4">
        <v>27</v>
      </c>
    </row>
    <row r="5" spans="2:7" x14ac:dyDescent="0.35">
      <c r="B5" s="12" t="s">
        <v>12</v>
      </c>
      <c r="C5">
        <v>27</v>
      </c>
      <c r="F5" s="12" t="s">
        <v>9</v>
      </c>
      <c r="G5">
        <v>27</v>
      </c>
    </row>
    <row r="6" spans="2:7" x14ac:dyDescent="0.35">
      <c r="B6" s="12" t="s">
        <v>21</v>
      </c>
      <c r="C6">
        <v>19</v>
      </c>
      <c r="F6" s="12" t="s">
        <v>21</v>
      </c>
      <c r="G6">
        <v>19</v>
      </c>
    </row>
    <row r="7" spans="2:7" x14ac:dyDescent="0.35">
      <c r="B7" s="12" t="s">
        <v>19</v>
      </c>
      <c r="C7">
        <v>14</v>
      </c>
      <c r="F7" s="12" t="s">
        <v>19</v>
      </c>
      <c r="G7">
        <v>14</v>
      </c>
    </row>
    <row r="8" spans="2:7" x14ac:dyDescent="0.35">
      <c r="B8" s="12" t="s">
        <v>56</v>
      </c>
      <c r="C8">
        <v>4</v>
      </c>
      <c r="F8" s="12" t="s">
        <v>56</v>
      </c>
      <c r="G8">
        <v>4</v>
      </c>
    </row>
    <row r="9" spans="2:7" x14ac:dyDescent="0.35">
      <c r="B9" s="12" t="s">
        <v>227</v>
      </c>
      <c r="C9">
        <v>92</v>
      </c>
      <c r="F9" s="12" t="s">
        <v>227</v>
      </c>
      <c r="G9">
        <v>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867400-4934-401F-A7B1-0A9A5C623A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vt:lpstr>
      <vt:lpstr>India Staff</vt:lpstr>
      <vt:lpstr>ALL Staff</vt:lpstr>
      <vt:lpstr>Info Finder 2.0</vt:lpstr>
      <vt:lpstr>Male vs Female</vt:lpstr>
      <vt:lpstr>Bonus calculation</vt:lpstr>
      <vt:lpstr>Salary Spread</vt:lpstr>
      <vt:lpstr>Salary vs Rating</vt:lpstr>
      <vt:lpstr>Analysis</vt:lpstr>
      <vt:lpstr>Employee Trend</vt:lpstr>
      <vt:lpstr>Final Report Card</vt:lpstr>
      <vt:lpstr>Processed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Yogi yogi</cp:lastModifiedBy>
  <dcterms:created xsi:type="dcterms:W3CDTF">2021-03-14T20:21:32Z</dcterms:created>
  <dcterms:modified xsi:type="dcterms:W3CDTF">2026-04-20T12:19:28Z</dcterms:modified>
</cp:coreProperties>
</file>